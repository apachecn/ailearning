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打分模板" sheetId="2" r:id="rId2"/>
    <sheet name="交易日志" sheetId="3" r:id="rId3"/>
  </sheets>
</workbook>
</file>

<file path=xl/sharedStrings.xml><?xml version="1.0" encoding="utf-8"?>
<sst xmlns="http://schemas.openxmlformats.org/spreadsheetml/2006/main" count="122" uniqueCount="122">
  <si>
    <t xml:space="preserve">H2/L2 + Failed Breakout 打分与交易日志 — 使用说明</t>
  </si>
  <si>
    <t xml:space="preserve">一、文件结构</t>
  </si>
  <si>
    <t xml:space="preserve"/>
  </si>
  <si>
    <t xml:space="preserve">本文件包含 3 个工作表：</t>
  </si>
  <si>
    <t xml:space="preserve">  • 使用说明（本表）</t>
  </si>
  <si>
    <t xml:space="preserve">  • 打分模板（每次交易前填写，用于决定是否入场）</t>
  </si>
  <si>
    <t xml:space="preserve">  • 交易日志（每笔交易后填写，累积数据用于周/月复盘）</t>
  </si>
  <si>
    <t xml:space="preserve">二、打分模板使用流程</t>
  </si>
  <si>
    <t xml:space="preserve">1. 发现潜在 setup 时，打开「打分模板」新的一行</t>
  </si>
  <si>
    <t xml:space="preserve">2. 逐项填写 4 个维度的评分（每项 0/15/25 三档）</t>
  </si>
  <si>
    <t xml:space="preserve">3. 总分会自动计算（右下角），≥75 才考虑入场</t>
  </si>
  <si>
    <t xml:space="preserve">4. 75–89 分：正常仓位（1 张 MES）</t>
  </si>
  <si>
    <t xml:space="preserve">5. ≥90 分：高质量 setup，可在账户 &gt;$5000 后考虑 2 张（当前 1 张）</t>
  </si>
  <si>
    <t xml:space="preserve">6. &lt;75 分：放弃，等待下一次机会</t>
  </si>
  <si>
    <t xml:space="preserve">三、交易日志字段说明</t>
  </si>
  <si>
    <t xml:space="preserve">• 日期/时段：用北京时间记录（如 2026-05-09 22:15）</t>
  </si>
  <si>
    <t xml:space="preserve">• Setup：H2 Long / L2 Short / Failed Breakout Up / Failed Breakout Down</t>
  </si>
  <si>
    <t xml:space="preserve">• 入场/止损/目标：以 ES 点数记录（MES = ES 的 1/10 乘数）</t>
  </si>
  <si>
    <t xml:space="preserve">• 止损点数 = |入场 - 止损| ，目标点数同理</t>
  </si>
  <si>
    <t xml:space="preserve">• R:R 会根据止损/目标自动算出</t>
  </si>
  <si>
    <t xml:space="preserve">• 结果：+1R / +2R / -1R / BE (保本) / 时间止损等</t>
  </si>
  <si>
    <t xml:space="preserve">• 执行评分（0–10）：与盈亏无关，只评你是否严格按规则执行</t>
  </si>
  <si>
    <t xml:space="preserve">• 情绪标签：平静 / FOMO / 报复 / 犹豫 / 疲劳等（供复盘）</t>
  </si>
  <si>
    <t xml:space="preserve">四、打分四维度详解（Al Brooks H2 Long 示例）</t>
  </si>
  <si>
    <t xml:space="preserve">维度 1：趋势清晰度（0–25）</t>
  </si>
  <si>
    <t xml:space="preserve">    25 分：价格在 20EMA 上方，EMA 明确上倾（斜率目测 &gt;30°）</t>
  </si>
  <si>
    <t xml:space="preserve">    15 分：在 EMA 上方但 EMA 走平</t>
  </si>
  <si>
    <t xml:space="preserve">    0 分：在 EMA 下方（不做多头 H2）</t>
  </si>
  <si>
    <t xml:space="preserve">维度 2：Swing 结构（0–25）</t>
  </si>
  <si>
    <t xml:space="preserve">    25 分：最近 1 小时内有清晰的 2 个 HH + 2 个 HL</t>
  </si>
  <si>
    <t xml:space="preserve">    15 分：只有 1 组 HH + HL</t>
  </si>
  <si>
    <t xml:space="preserve">    0 分：结构混乱、无法识别</t>
  </si>
  <si>
    <t xml:space="preserve">维度 3：回调深度（0–25）</t>
  </si>
  <si>
    <t xml:space="preserve">    25 分：回调到前推进段的 38.2%–61.8%（黄金区）</t>
  </si>
  <si>
    <t xml:space="preserve">    15 分：回调到 23.6%–38.2% 或 61.8%–78.6%</t>
  </si>
  <si>
    <t xml:space="preserve">    0 分：回调超过 80%（趋势可能已破）</t>
  </si>
  <si>
    <t xml:space="preserve">维度 4：入场 bar 质量（0–25）</t>
  </si>
  <si>
    <t xml:space="preserve">    25 分：强 bull bar，收盘位于高点 75% 以上，相对大小中等以上</t>
  </si>
  <si>
    <t xml:space="preserve">    15 分：中性 bull bar</t>
  </si>
  <si>
    <t xml:space="preserve">    0 分：doji 或弱 bar（等下一根确认）</t>
  </si>
  <si>
    <t xml:space="preserve">五、L2 Short 是 H2 Long 的镜像</t>
  </si>
  <si>
    <t xml:space="preserve">所有规则完全对称：</t>
  </si>
  <si>
    <t xml:space="preserve">  • 下降趋势 + 价格在 20EMA 下方</t>
  </si>
  <si>
    <t xml:space="preserve">  • 2 个 LH + 2 个 LL</t>
  </si>
  <si>
    <t xml:space="preserve">  • 第二次反弹深度 38.2%–61.8%</t>
  </si>
  <si>
    <t xml:space="preserve">  • 入场 bar：强 bear bar</t>
  </si>
  <si>
    <t xml:space="preserve">六、Failed Breakout 补充打分（可在维度 1 栏补注）</t>
  </si>
  <si>
    <t xml:space="preserve">• 前置区间：开盘 30min 内形成 5–15 点区间</t>
  </si>
  <si>
    <t xml:space="preserve">• 突破幅度：至少 3 点</t>
  </si>
  <si>
    <t xml:space="preserve">• 跟进失败：突破后 3 根 K 线内无法创新高/低</t>
  </si>
  <si>
    <t xml:space="preserve">• 反向信号 bar：收盘回到区间内</t>
  </si>
  <si>
    <t xml:space="preserve">• 目标：区间另一端</t>
  </si>
  <si>
    <t xml:space="preserve">七、风险与纪律硬规则（刻在 DNA 里）</t>
  </si>
  <si>
    <t xml:space="preserve">• 单笔最大风险：账户的 2% = $80（按 $4000 起始）</t>
  </si>
  <si>
    <t xml:space="preserve">• 日亏损上限：账户的 4% = $160，触及立即停手</t>
  </si>
  <si>
    <t xml:space="preserve">• 日盈利 ≥ +1.5R 后：剩余时段只平不开</t>
  </si>
  <si>
    <t xml:space="preserve">• 绝不持仓过夜</t>
  </si>
  <si>
    <t xml:space="preserve">• FOMC / CPI / NFP 日：不交易</t>
  </si>
  <si>
    <t xml:space="preserve">• 连亏 3 笔：强制冷却 1 小时或直接停手</t>
  </si>
  <si>
    <t xml:space="preserve">• 工作日疲劳：主动放弃当晚交易，不硬撑</t>
  </si>
  <si>
    <t xml:space="preserve">八、周/月复盘指标（看日志数据）</t>
  </si>
  <si>
    <t xml:space="preserve">• 执行评分平均值（目标 ≥8/10，这比盈亏更重要）</t>
  </si>
  <si>
    <t xml:space="preserve">• 入场前打分与最终 R 的相关性（打分是否有预测力）</t>
  </si>
  <si>
    <t xml:space="preserve">• Setup 分类胜率（H2 vs L2 vs Failed Breakout）</t>
  </si>
  <si>
    <t xml:space="preserve">• 时段胜率（开盘前 30min / 30–90min / 90min+）</t>
  </si>
  <si>
    <t xml:space="preserve">• 情绪标签与结果相关性（哪些情绪在毒害你）</t>
  </si>
  <si>
    <t xml:space="preserve">入场前打分模板（每次发现 setup 时填一行）</t>
  </si>
  <si>
    <t xml:space="preserve">基本信息</t>
  </si>
  <si>
    <t xml:space="preserve">Setup 类型</t>
  </si>
  <si>
    <t xml:space="preserve">四维度打分（每项 0/15/25）</t>
  </si>
  <si>
    <t xml:space="preserve">总分</t>
  </si>
  <si>
    <t xml:space="preserve">决策</t>
  </si>
  <si>
    <t xml:space="preserve">备注</t>
  </si>
  <si>
    <t xml:space="preserve">日期(北京)</t>
  </si>
  <si>
    <t xml:space="preserve">时间(HH:MM)</t>
  </si>
  <si>
    <t xml:space="preserve">Setup</t>
  </si>
  <si>
    <t xml:space="preserve">维度1趋势</t>
  </si>
  <si>
    <t xml:space="preserve">维度2结构</t>
  </si>
  <si>
    <t xml:space="preserve">维度3回调</t>
  </si>
  <si>
    <t xml:space="preserve">维度4信号bar</t>
  </si>
  <si>
    <t xml:space="preserve">是否入场</t>
  </si>
  <si>
    <t xml:space="preserve">交易日志（每笔成交后填写，用于周/月复盘）</t>
  </si>
  <si>
    <t xml:space="preserve">日期</t>
  </si>
  <si>
    <t xml:space="preserve">编号</t>
  </si>
  <si>
    <t xml:space="preserve">方向</t>
  </si>
  <si>
    <t xml:space="preserve">入场价</t>
  </si>
  <si>
    <t xml:space="preserve">止损价</t>
  </si>
  <si>
    <t xml:space="preserve">目标价</t>
  </si>
  <si>
    <t xml:space="preserve">止损点数</t>
  </si>
  <si>
    <t xml:space="preserve">目标点数</t>
  </si>
  <si>
    <t xml:space="preserve">R:R</t>
  </si>
  <si>
    <t xml:space="preserve">合约数</t>
  </si>
  <si>
    <t xml:space="preserve">结果(R)</t>
  </si>
  <si>
    <t xml:space="preserve">盈亏($)</t>
  </si>
  <si>
    <t xml:space="preserve">执行分(0-10)</t>
  </si>
  <si>
    <t xml:space="preserve">情绪标签</t>
  </si>
  <si>
    <t xml:space="preserve">离场原因</t>
  </si>
  <si>
    <t xml:space="preserve">复盘笔记</t>
  </si>
  <si>
    <t xml:space="preserve">YYYY-MM-DD</t>
  </si>
  <si>
    <t xml:space="preserve">#1..</t>
  </si>
  <si>
    <t xml:space="preserve">H2/L2/FBU/FBD</t>
  </si>
  <si>
    <t xml:space="preserve">L/S</t>
  </si>
  <si>
    <t xml:space="preserve">点</t>
  </si>
  <si>
    <t xml:space="preserve">=|E-F|</t>
  </si>
  <si>
    <t xml:space="preserve">=|G-E|</t>
  </si>
  <si>
    <t xml:space="preserve">=I/H</t>
  </si>
  <si>
    <t xml:space="preserve">张</t>
  </si>
  <si>
    <t xml:space="preserve">+/-数字</t>
  </si>
  <si>
    <t xml:space="preserve">=L*H*5*K</t>
  </si>
  <si>
    <t xml:space="preserve">0-10</t>
  </si>
  <si>
    <t xml:space="preserve">平静/FOMO/等</t>
  </si>
  <si>
    <t xml:space="preserve">目标/止损/时间/主动</t>
  </si>
  <si>
    <t xml:space="preserve">1-2句</t>
  </si>
  <si>
    <t xml:space="preserve">统计汇总（自动）</t>
  </si>
  <si>
    <t xml:space="preserve">交易笔数</t>
  </si>
  <si>
    <t xml:space="preserve">胜率 (%)</t>
  </si>
  <si>
    <t xml:space="preserve">累计 R</t>
  </si>
  <si>
    <t xml:space="preserve">累计盈亏 ($)</t>
  </si>
  <si>
    <t xml:space="preserve">平均 R:R</t>
  </si>
  <si>
    <t xml:space="preserve">执行分平均</t>
  </si>
  <si>
    <t xml:space="preserve">最大单笔盈亏</t>
  </si>
  <si>
    <t xml:space="preserve">最大单笔亏损</t>
  </si>
</sst>
</file>

<file path=xl/styles.xml><?xml version="1.0" encoding="utf-8"?>
<styleSheet xmlns="http://schemas.openxmlformats.org/spreadsheetml/2006/main">
  <numFmts count="4">
    <numFmt numFmtId="164" formatCode="0"/>
    <numFmt numFmtId="165" formatCode="0.00"/>
    <numFmt numFmtId="166" formatCode="$#,##0.00"/>
    <numFmt numFmtId="167" formatCode="0.0"/>
  </numFmts>
  <fonts count="5">
    <font>
      <sz val="11"/>
      <color rgb="FF000000"/>
      <name val="Calibri"/>
    </font>
    <font>
      <b/>
      <sz val="16"/>
      <color rgb="FFFFFFFF"/>
      <name val="Calibri"/>
    </font>
    <font>
      <b/>
      <sz val="12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64" fontId="0" fillId="5" borderId="1" xfId="0" applyFill="1" applyBorder="1" applyNumberFormat="1" applyAlignment="1">
      <alignment horizontal="center" vertical="center"/>
    </xf>
    <xf numFmtId="164" fontId="4" fillId="6" borderId="1" xfId="0" applyFont="1" applyFill="1" applyBorder="1" applyNumberForma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5" fontId="0" fillId="5" borderId="1" xfId="0" applyFill="1" applyBorder="1" applyNumberFormat="1" applyAlignment="1">
      <alignment horizontal="center" vertical="center"/>
    </xf>
    <xf numFmtId="165" fontId="4" fillId="6" borderId="1" xfId="0" applyFont="1" applyFill="1" applyBorder="1" applyNumberFormat="1" applyAlignment="1">
      <alignment horizontal="center" vertical="center"/>
    </xf>
    <xf numFmtId="166" fontId="4" fillId="6" borderId="1" xfId="0" applyFont="1" applyFill="1" applyBorder="1" applyNumberFormat="1" applyAlignment="1">
      <alignment horizontal="center" vertical="center"/>
    </xf>
    <xf numFmtId="167" fontId="4" fillId="6" borderId="1" xfId="0" applyFont="1" applyFill="1" applyBorder="1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4" customWidth="1"/>
    <col min="2" max="2" width="100" customWidth="1"/>
  </cols>
  <sheetData>
    <row r="1" ht="30" customHeight="1">
      <c r="A1" s="1" t="s">
        <v>0</v>
      </c>
    </row>
    <row r="2"/>
    <row r="3" ht="22" customHeight="1">
      <c r="A3" s="2" t="s">
        <v>1</v>
      </c>
    </row>
    <row r="4" ht="18" customHeight="1">
      <c r="A4" s="3" t="s">
        <v>2</v>
      </c>
      <c r="B4" s="4" t="s">
        <v>3</v>
      </c>
    </row>
    <row r="5" ht="18" customHeight="1">
      <c r="A5" s="3" t="s">
        <v>2</v>
      </c>
      <c r="B5" s="4" t="s">
        <v>4</v>
      </c>
    </row>
    <row r="6" ht="18" customHeight="1">
      <c r="A6" s="3" t="s">
        <v>2</v>
      </c>
      <c r="B6" s="4" t="s">
        <v>5</v>
      </c>
    </row>
    <row r="7" ht="18" customHeight="1">
      <c r="A7" s="3" t="s">
        <v>2</v>
      </c>
      <c r="B7" s="4" t="s">
        <v>6</v>
      </c>
    </row>
    <row r="8"/>
    <row r="9" ht="22" customHeight="1">
      <c r="A9" s="2" t="s">
        <v>7</v>
      </c>
    </row>
    <row r="10" ht="18" customHeight="1">
      <c r="A10" s="3" t="s">
        <v>2</v>
      </c>
      <c r="B10" s="4" t="s">
        <v>8</v>
      </c>
    </row>
    <row r="11" ht="18" customHeight="1">
      <c r="A11" s="3" t="s">
        <v>2</v>
      </c>
      <c r="B11" s="4" t="s">
        <v>9</v>
      </c>
    </row>
    <row r="12" ht="18" customHeight="1">
      <c r="A12" s="3" t="s">
        <v>2</v>
      </c>
      <c r="B12" s="4" t="s">
        <v>10</v>
      </c>
    </row>
    <row r="13" ht="18" customHeight="1">
      <c r="A13" s="3" t="s">
        <v>2</v>
      </c>
      <c r="B13" s="4" t="s">
        <v>11</v>
      </c>
    </row>
    <row r="14" ht="18" customHeight="1">
      <c r="A14" s="3" t="s">
        <v>2</v>
      </c>
      <c r="B14" s="4" t="s">
        <v>12</v>
      </c>
    </row>
    <row r="15" ht="18" customHeight="1">
      <c r="A15" s="3" t="s">
        <v>2</v>
      </c>
      <c r="B15" s="4" t="s">
        <v>13</v>
      </c>
    </row>
    <row r="16"/>
    <row r="17" ht="22" customHeight="1">
      <c r="A17" s="2" t="s">
        <v>14</v>
      </c>
    </row>
    <row r="18" ht="18" customHeight="1">
      <c r="A18" s="3" t="s">
        <v>2</v>
      </c>
      <c r="B18" s="4" t="s">
        <v>15</v>
      </c>
    </row>
    <row r="19" ht="18" customHeight="1">
      <c r="A19" s="3" t="s">
        <v>2</v>
      </c>
      <c r="B19" s="4" t="s">
        <v>16</v>
      </c>
    </row>
    <row r="20" ht="18" customHeight="1">
      <c r="A20" s="3" t="s">
        <v>2</v>
      </c>
      <c r="B20" s="4" t="s">
        <v>17</v>
      </c>
    </row>
    <row r="21" ht="18" customHeight="1">
      <c r="A21" s="3" t="s">
        <v>2</v>
      </c>
      <c r="B21" s="4" t="s">
        <v>18</v>
      </c>
    </row>
    <row r="22" ht="18" customHeight="1">
      <c r="A22" s="3" t="s">
        <v>2</v>
      </c>
      <c r="B22" s="4" t="s">
        <v>19</v>
      </c>
    </row>
    <row r="23" ht="18" customHeight="1">
      <c r="A23" s="3" t="s">
        <v>2</v>
      </c>
      <c r="B23" s="4" t="s">
        <v>20</v>
      </c>
    </row>
    <row r="24" ht="18" customHeight="1">
      <c r="A24" s="3" t="s">
        <v>2</v>
      </c>
      <c r="B24" s="4" t="s">
        <v>21</v>
      </c>
    </row>
    <row r="25" ht="18" customHeight="1">
      <c r="A25" s="3" t="s">
        <v>2</v>
      </c>
      <c r="B25" s="4" t="s">
        <v>22</v>
      </c>
    </row>
    <row r="26"/>
    <row r="27" ht="22" customHeight="1">
      <c r="A27" s="2" t="s">
        <v>23</v>
      </c>
    </row>
    <row r="28" ht="18" customHeight="1">
      <c r="A28" s="3" t="s">
        <v>2</v>
      </c>
      <c r="B28" s="4" t="s">
        <v>24</v>
      </c>
    </row>
    <row r="29" ht="18" customHeight="1">
      <c r="A29" s="3" t="s">
        <v>2</v>
      </c>
      <c r="B29" s="4" t="s">
        <v>25</v>
      </c>
    </row>
    <row r="30" ht="18" customHeight="1">
      <c r="A30" s="3" t="s">
        <v>2</v>
      </c>
      <c r="B30" s="4" t="s">
        <v>26</v>
      </c>
    </row>
    <row r="31" ht="18" customHeight="1">
      <c r="A31" s="3" t="s">
        <v>2</v>
      </c>
      <c r="B31" s="4" t="s">
        <v>27</v>
      </c>
    </row>
    <row r="32" ht="18" customHeight="1">
      <c r="A32" s="3" t="s">
        <v>2</v>
      </c>
      <c r="B32" s="4" t="s">
        <v>2</v>
      </c>
    </row>
    <row r="33" ht="18" customHeight="1">
      <c r="A33" s="3" t="s">
        <v>2</v>
      </c>
      <c r="B33" s="4" t="s">
        <v>28</v>
      </c>
    </row>
    <row r="34" ht="18" customHeight="1">
      <c r="A34" s="3" t="s">
        <v>2</v>
      </c>
      <c r="B34" s="4" t="s">
        <v>29</v>
      </c>
    </row>
    <row r="35" ht="18" customHeight="1">
      <c r="A35" s="3" t="s">
        <v>2</v>
      </c>
      <c r="B35" s="4" t="s">
        <v>30</v>
      </c>
    </row>
    <row r="36" ht="18" customHeight="1">
      <c r="A36" s="3" t="s">
        <v>2</v>
      </c>
      <c r="B36" s="4" t="s">
        <v>31</v>
      </c>
    </row>
    <row r="37" ht="18" customHeight="1">
      <c r="A37" s="3" t="s">
        <v>2</v>
      </c>
      <c r="B37" s="4" t="s">
        <v>2</v>
      </c>
    </row>
    <row r="38" ht="18" customHeight="1">
      <c r="A38" s="3" t="s">
        <v>2</v>
      </c>
      <c r="B38" s="4" t="s">
        <v>32</v>
      </c>
    </row>
    <row r="39" ht="18" customHeight="1">
      <c r="A39" s="3" t="s">
        <v>2</v>
      </c>
      <c r="B39" s="4" t="s">
        <v>33</v>
      </c>
    </row>
    <row r="40" ht="18" customHeight="1">
      <c r="A40" s="3" t="s">
        <v>2</v>
      </c>
      <c r="B40" s="4" t="s">
        <v>34</v>
      </c>
    </row>
    <row r="41" ht="18" customHeight="1">
      <c r="A41" s="3" t="s">
        <v>2</v>
      </c>
      <c r="B41" s="4" t="s">
        <v>35</v>
      </c>
    </row>
    <row r="42" ht="18" customHeight="1">
      <c r="A42" s="3" t="s">
        <v>2</v>
      </c>
      <c r="B42" s="4" t="s">
        <v>2</v>
      </c>
    </row>
    <row r="43" ht="18" customHeight="1">
      <c r="A43" s="3" t="s">
        <v>2</v>
      </c>
      <c r="B43" s="4" t="s">
        <v>36</v>
      </c>
    </row>
    <row r="44" ht="18" customHeight="1">
      <c r="A44" s="3" t="s">
        <v>2</v>
      </c>
      <c r="B44" s="4" t="s">
        <v>37</v>
      </c>
    </row>
    <row r="45" ht="18" customHeight="1">
      <c r="A45" s="3" t="s">
        <v>2</v>
      </c>
      <c r="B45" s="4" t="s">
        <v>38</v>
      </c>
    </row>
    <row r="46" ht="18" customHeight="1">
      <c r="A46" s="3" t="s">
        <v>2</v>
      </c>
      <c r="B46" s="4" t="s">
        <v>39</v>
      </c>
    </row>
    <row r="47"/>
    <row r="48" ht="22" customHeight="1">
      <c r="A48" s="2" t="s">
        <v>40</v>
      </c>
    </row>
    <row r="49" ht="18" customHeight="1">
      <c r="A49" s="3" t="s">
        <v>2</v>
      </c>
      <c r="B49" s="4" t="s">
        <v>41</v>
      </c>
    </row>
    <row r="50" ht="18" customHeight="1">
      <c r="A50" s="3" t="s">
        <v>2</v>
      </c>
      <c r="B50" s="4" t="s">
        <v>42</v>
      </c>
    </row>
    <row r="51" ht="18" customHeight="1">
      <c r="A51" s="3" t="s">
        <v>2</v>
      </c>
      <c r="B51" s="4" t="s">
        <v>43</v>
      </c>
    </row>
    <row r="52" ht="18" customHeight="1">
      <c r="A52" s="3" t="s">
        <v>2</v>
      </c>
      <c r="B52" s="4" t="s">
        <v>44</v>
      </c>
    </row>
    <row r="53" ht="18" customHeight="1">
      <c r="A53" s="3" t="s">
        <v>2</v>
      </c>
      <c r="B53" s="4" t="s">
        <v>45</v>
      </c>
    </row>
    <row r="54"/>
    <row r="55" ht="22" customHeight="1">
      <c r="A55" s="2" t="s">
        <v>46</v>
      </c>
    </row>
    <row r="56" ht="18" customHeight="1">
      <c r="A56" s="3" t="s">
        <v>2</v>
      </c>
      <c r="B56" s="4" t="s">
        <v>47</v>
      </c>
    </row>
    <row r="57" ht="18" customHeight="1">
      <c r="A57" s="3" t="s">
        <v>2</v>
      </c>
      <c r="B57" s="4" t="s">
        <v>48</v>
      </c>
    </row>
    <row r="58" ht="18" customHeight="1">
      <c r="A58" s="3" t="s">
        <v>2</v>
      </c>
      <c r="B58" s="4" t="s">
        <v>49</v>
      </c>
    </row>
    <row r="59" ht="18" customHeight="1">
      <c r="A59" s="3" t="s">
        <v>2</v>
      </c>
      <c r="B59" s="4" t="s">
        <v>50</v>
      </c>
    </row>
    <row r="60" ht="18" customHeight="1">
      <c r="A60" s="3" t="s">
        <v>2</v>
      </c>
      <c r="B60" s="4" t="s">
        <v>51</v>
      </c>
    </row>
    <row r="61"/>
    <row r="62" ht="22" customHeight="1">
      <c r="A62" s="2" t="s">
        <v>52</v>
      </c>
    </row>
    <row r="63" ht="18" customHeight="1">
      <c r="A63" s="3" t="s">
        <v>2</v>
      </c>
      <c r="B63" s="4" t="s">
        <v>53</v>
      </c>
    </row>
    <row r="64" ht="18" customHeight="1">
      <c r="A64" s="3" t="s">
        <v>2</v>
      </c>
      <c r="B64" s="4" t="s">
        <v>54</v>
      </c>
    </row>
    <row r="65" ht="18" customHeight="1">
      <c r="A65" s="3" t="s">
        <v>2</v>
      </c>
      <c r="B65" s="4" t="s">
        <v>55</v>
      </c>
    </row>
    <row r="66" ht="18" customHeight="1">
      <c r="A66" s="3" t="s">
        <v>2</v>
      </c>
      <c r="B66" s="4" t="s">
        <v>56</v>
      </c>
    </row>
    <row r="67" ht="18" customHeight="1">
      <c r="A67" s="3" t="s">
        <v>2</v>
      </c>
      <c r="B67" s="4" t="s">
        <v>57</v>
      </c>
    </row>
    <row r="68" ht="18" customHeight="1">
      <c r="A68" s="3" t="s">
        <v>2</v>
      </c>
      <c r="B68" s="4" t="s">
        <v>58</v>
      </c>
    </row>
    <row r="69" ht="18" customHeight="1">
      <c r="A69" s="3" t="s">
        <v>2</v>
      </c>
      <c r="B69" s="4" t="s">
        <v>59</v>
      </c>
    </row>
    <row r="70"/>
    <row r="71" ht="22" customHeight="1">
      <c r="A71" s="2" t="s">
        <v>60</v>
      </c>
    </row>
    <row r="72" ht="18" customHeight="1">
      <c r="A72" s="3" t="s">
        <v>2</v>
      </c>
      <c r="B72" s="4" t="s">
        <v>61</v>
      </c>
    </row>
    <row r="73" ht="18" customHeight="1">
      <c r="A73" s="3" t="s">
        <v>2</v>
      </c>
      <c r="B73" s="4" t="s">
        <v>62</v>
      </c>
    </row>
    <row r="74" ht="18" customHeight="1">
      <c r="A74" s="3" t="s">
        <v>2</v>
      </c>
      <c r="B74" s="4" t="s">
        <v>63</v>
      </c>
    </row>
    <row r="75" ht="18" customHeight="1">
      <c r="A75" s="3" t="s">
        <v>2</v>
      </c>
      <c r="B75" s="4" t="s">
        <v>64</v>
      </c>
    </row>
    <row r="76" ht="18" customHeight="1">
      <c r="A76" s="3" t="s">
        <v>2</v>
      </c>
      <c r="B76" s="4" t="s">
        <v>65</v>
      </c>
    </row>
  </sheetData>
  <mergeCells count="9">
    <mergeCell ref="A1:B1"/>
    <mergeCell ref="A3:B3"/>
    <mergeCell ref="A9:B9"/>
    <mergeCell ref="A17:B17"/>
    <mergeCell ref="A27:B27"/>
    <mergeCell ref="A48:B48"/>
    <mergeCell ref="A55:B55"/>
    <mergeCell ref="A62:B62"/>
    <mergeCell ref="A71:B71"/>
  </mergeCells>
</worksheet>
</file>

<file path=xl/worksheets/sheet2.xml><?xml version="1.0" encoding="utf-8"?>
<worksheet xmlns="http://schemas.openxmlformats.org/spreadsheetml/2006/main">
  <sheetViews>
    <sheetView workbookViewId="0">
      <pane xSplit="2" ySplit="3" topLeftCell="C4" state="frozen"/>
    </sheetView>
  </sheetViews>
  <cols>
    <col min="1" max="1" width="16" customWidth="1"/>
    <col min="2" max="2" width="16" customWidth="1"/>
    <col min="3" max="3" width="12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4" customWidth="1"/>
    <col min="10" max="10" width="30" customWidth="1"/>
  </cols>
  <sheetData>
    <row r="1" ht="28" customHeight="1">
      <c r="A1" s="1" t="s">
        <v>66</v>
      </c>
    </row>
    <row r="2">
      <c r="A2" s="5" t="s">
        <v>67</v>
      </c>
      <c r="C2" s="5" t="s">
        <v>68</v>
      </c>
      <c r="D2" s="5" t="s">
        <v>69</v>
      </c>
      <c r="H2" s="5" t="s">
        <v>70</v>
      </c>
      <c r="I2" s="5" t="s">
        <v>71</v>
      </c>
      <c r="J2" s="5" t="s">
        <v>72</v>
      </c>
    </row>
    <row r="3" ht="32" customHeight="1">
      <c r="A3" s="6" t="s">
        <v>73</v>
      </c>
      <c r="B3" s="6" t="s">
        <v>74</v>
      </c>
      <c r="C3" s="6" t="s">
        <v>75</v>
      </c>
      <c r="D3" s="6" t="s">
        <v>76</v>
      </c>
      <c r="E3" s="6" t="s">
        <v>77</v>
      </c>
      <c r="F3" s="6" t="s">
        <v>78</v>
      </c>
      <c r="G3" s="6" t="s">
        <v>79</v>
      </c>
      <c r="H3" s="6" t="s">
        <v>70</v>
      </c>
      <c r="I3" s="6" t="s">
        <v>80</v>
      </c>
      <c r="J3" s="6" t="s">
        <v>72</v>
      </c>
    </row>
    <row r="4" ht="22" customHeight="1">
      <c r="A4" s="7" t="s">
        <v>2</v>
      </c>
      <c r="B4" s="7" t="s">
        <v>2</v>
      </c>
      <c r="C4" s="7" t="s">
        <v>2</v>
      </c>
      <c r="D4" s="8" t="s">
        <v>2</v>
      </c>
      <c r="E4" s="8" t="s">
        <v>2</v>
      </c>
      <c r="F4" s="8" t="s">
        <v>2</v>
      </c>
      <c r="G4" s="8" t="s">
        <v>2</v>
      </c>
      <c r="H4" s="9">
        <f>IF(COUNTA(D4:G4)=0,"",SUM(D4:G4))</f>
      </c>
      <c r="I4" s="10">
        <f>IF(H4="","",IF(H4&gt;=90,"✅ 高质量-入场",IF(H4&gt;=75,"✅ 入场","❌ 放弃")))</f>
      </c>
      <c r="J4" s="7" t="s">
        <v>2</v>
      </c>
    </row>
    <row r="5" ht="22" customHeight="1">
      <c r="A5" s="7" t="s">
        <v>2</v>
      </c>
      <c r="B5" s="7" t="s">
        <v>2</v>
      </c>
      <c r="C5" s="7" t="s">
        <v>2</v>
      </c>
      <c r="D5" s="8" t="s">
        <v>2</v>
      </c>
      <c r="E5" s="8" t="s">
        <v>2</v>
      </c>
      <c r="F5" s="8" t="s">
        <v>2</v>
      </c>
      <c r="G5" s="8" t="s">
        <v>2</v>
      </c>
      <c r="H5" s="9">
        <f>IF(COUNTA(D5:G5)=0,"",SUM(D5:G5))</f>
      </c>
      <c r="I5" s="10">
        <f>IF(H5="","",IF(H5&gt;=90,"✅ 高质量-入场",IF(H5&gt;=75,"✅ 入场","❌ 放弃")))</f>
      </c>
      <c r="J5" s="7" t="s">
        <v>2</v>
      </c>
    </row>
    <row r="6" ht="22" customHeight="1">
      <c r="A6" s="7" t="s">
        <v>2</v>
      </c>
      <c r="B6" s="7" t="s">
        <v>2</v>
      </c>
      <c r="C6" s="7" t="s">
        <v>2</v>
      </c>
      <c r="D6" s="8" t="s">
        <v>2</v>
      </c>
      <c r="E6" s="8" t="s">
        <v>2</v>
      </c>
      <c r="F6" s="8" t="s">
        <v>2</v>
      </c>
      <c r="G6" s="8" t="s">
        <v>2</v>
      </c>
      <c r="H6" s="9">
        <f>IF(COUNTA(D6:G6)=0,"",SUM(D6:G6))</f>
      </c>
      <c r="I6" s="10">
        <f>IF(H6="","",IF(H6&gt;=90,"✅ 高质量-入场",IF(H6&gt;=75,"✅ 入场","❌ 放弃")))</f>
      </c>
      <c r="J6" s="7" t="s">
        <v>2</v>
      </c>
    </row>
    <row r="7" ht="22" customHeight="1">
      <c r="A7" s="7" t="s">
        <v>2</v>
      </c>
      <c r="B7" s="7" t="s">
        <v>2</v>
      </c>
      <c r="C7" s="7" t="s">
        <v>2</v>
      </c>
      <c r="D7" s="8" t="s">
        <v>2</v>
      </c>
      <c r="E7" s="8" t="s">
        <v>2</v>
      </c>
      <c r="F7" s="8" t="s">
        <v>2</v>
      </c>
      <c r="G7" s="8" t="s">
        <v>2</v>
      </c>
      <c r="H7" s="9">
        <f>IF(COUNTA(D7:G7)=0,"",SUM(D7:G7))</f>
      </c>
      <c r="I7" s="10">
        <f>IF(H7="","",IF(H7&gt;=90,"✅ 高质量-入场",IF(H7&gt;=75,"✅ 入场","❌ 放弃")))</f>
      </c>
      <c r="J7" s="7" t="s">
        <v>2</v>
      </c>
    </row>
    <row r="8" ht="22" customHeight="1">
      <c r="A8" s="7" t="s">
        <v>2</v>
      </c>
      <c r="B8" s="7" t="s">
        <v>2</v>
      </c>
      <c r="C8" s="7" t="s">
        <v>2</v>
      </c>
      <c r="D8" s="8" t="s">
        <v>2</v>
      </c>
      <c r="E8" s="8" t="s">
        <v>2</v>
      </c>
      <c r="F8" s="8" t="s">
        <v>2</v>
      </c>
      <c r="G8" s="8" t="s">
        <v>2</v>
      </c>
      <c r="H8" s="9">
        <f>IF(COUNTA(D8:G8)=0,"",SUM(D8:G8))</f>
      </c>
      <c r="I8" s="10">
        <f>IF(H8="","",IF(H8&gt;=90,"✅ 高质量-入场",IF(H8&gt;=75,"✅ 入场","❌ 放弃")))</f>
      </c>
      <c r="J8" s="7" t="s">
        <v>2</v>
      </c>
    </row>
    <row r="9" ht="22" customHeight="1">
      <c r="A9" s="7" t="s">
        <v>2</v>
      </c>
      <c r="B9" s="7" t="s">
        <v>2</v>
      </c>
      <c r="C9" s="7" t="s">
        <v>2</v>
      </c>
      <c r="D9" s="8" t="s">
        <v>2</v>
      </c>
      <c r="E9" s="8" t="s">
        <v>2</v>
      </c>
      <c r="F9" s="8" t="s">
        <v>2</v>
      </c>
      <c r="G9" s="8" t="s">
        <v>2</v>
      </c>
      <c r="H9" s="9">
        <f>IF(COUNTA(D9:G9)=0,"",SUM(D9:G9))</f>
      </c>
      <c r="I9" s="10">
        <f>IF(H9="","",IF(H9&gt;=90,"✅ 高质量-入场",IF(H9&gt;=75,"✅ 入场","❌ 放弃")))</f>
      </c>
      <c r="J9" s="7" t="s">
        <v>2</v>
      </c>
    </row>
    <row r="10" ht="22" customHeight="1">
      <c r="A10" s="7" t="s">
        <v>2</v>
      </c>
      <c r="B10" s="7" t="s">
        <v>2</v>
      </c>
      <c r="C10" s="7" t="s">
        <v>2</v>
      </c>
      <c r="D10" s="8" t="s">
        <v>2</v>
      </c>
      <c r="E10" s="8" t="s">
        <v>2</v>
      </c>
      <c r="F10" s="8" t="s">
        <v>2</v>
      </c>
      <c r="G10" s="8" t="s">
        <v>2</v>
      </c>
      <c r="H10" s="9">
        <f>IF(COUNTA(D10:G10)=0,"",SUM(D10:G10))</f>
      </c>
      <c r="I10" s="10">
        <f>IF(H10="","",IF(H10&gt;=90,"✅ 高质量-入场",IF(H10&gt;=75,"✅ 入场","❌ 放弃")))</f>
      </c>
      <c r="J10" s="7" t="s">
        <v>2</v>
      </c>
    </row>
    <row r="11" ht="22" customHeight="1">
      <c r="A11" s="7" t="s">
        <v>2</v>
      </c>
      <c r="B11" s="7" t="s">
        <v>2</v>
      </c>
      <c r="C11" s="7" t="s">
        <v>2</v>
      </c>
      <c r="D11" s="8" t="s">
        <v>2</v>
      </c>
      <c r="E11" s="8" t="s">
        <v>2</v>
      </c>
      <c r="F11" s="8" t="s">
        <v>2</v>
      </c>
      <c r="G11" s="8" t="s">
        <v>2</v>
      </c>
      <c r="H11" s="9">
        <f>IF(COUNTA(D11:G11)=0,"",SUM(D11:G11))</f>
      </c>
      <c r="I11" s="10">
        <f>IF(H11="","",IF(H11&gt;=90,"✅ 高质量-入场",IF(H11&gt;=75,"✅ 入场","❌ 放弃")))</f>
      </c>
      <c r="J11" s="7" t="s">
        <v>2</v>
      </c>
    </row>
    <row r="12" ht="22" customHeight="1">
      <c r="A12" s="7" t="s">
        <v>2</v>
      </c>
      <c r="B12" s="7" t="s">
        <v>2</v>
      </c>
      <c r="C12" s="7" t="s">
        <v>2</v>
      </c>
      <c r="D12" s="8" t="s">
        <v>2</v>
      </c>
      <c r="E12" s="8" t="s">
        <v>2</v>
      </c>
      <c r="F12" s="8" t="s">
        <v>2</v>
      </c>
      <c r="G12" s="8" t="s">
        <v>2</v>
      </c>
      <c r="H12" s="9">
        <f>IF(COUNTA(D12:G12)=0,"",SUM(D12:G12))</f>
      </c>
      <c r="I12" s="10">
        <f>IF(H12="","",IF(H12&gt;=90,"✅ 高质量-入场",IF(H12&gt;=75,"✅ 入场","❌ 放弃")))</f>
      </c>
      <c r="J12" s="7" t="s">
        <v>2</v>
      </c>
    </row>
    <row r="13" ht="22" customHeight="1">
      <c r="A13" s="7" t="s">
        <v>2</v>
      </c>
      <c r="B13" s="7" t="s">
        <v>2</v>
      </c>
      <c r="C13" s="7" t="s">
        <v>2</v>
      </c>
      <c r="D13" s="8" t="s">
        <v>2</v>
      </c>
      <c r="E13" s="8" t="s">
        <v>2</v>
      </c>
      <c r="F13" s="8" t="s">
        <v>2</v>
      </c>
      <c r="G13" s="8" t="s">
        <v>2</v>
      </c>
      <c r="H13" s="9">
        <f>IF(COUNTA(D13:G13)=0,"",SUM(D13:G13))</f>
      </c>
      <c r="I13" s="10">
        <f>IF(H13="","",IF(H13&gt;=90,"✅ 高质量-入场",IF(H13&gt;=75,"✅ 入场","❌ 放弃")))</f>
      </c>
      <c r="J13" s="7" t="s">
        <v>2</v>
      </c>
    </row>
    <row r="14" ht="22" customHeight="1">
      <c r="A14" s="7" t="s">
        <v>2</v>
      </c>
      <c r="B14" s="7" t="s">
        <v>2</v>
      </c>
      <c r="C14" s="7" t="s">
        <v>2</v>
      </c>
      <c r="D14" s="8" t="s">
        <v>2</v>
      </c>
      <c r="E14" s="8" t="s">
        <v>2</v>
      </c>
      <c r="F14" s="8" t="s">
        <v>2</v>
      </c>
      <c r="G14" s="8" t="s">
        <v>2</v>
      </c>
      <c r="H14" s="9">
        <f>IF(COUNTA(D14:G14)=0,"",SUM(D14:G14))</f>
      </c>
      <c r="I14" s="10">
        <f>IF(H14="","",IF(H14&gt;=90,"✅ 高质量-入场",IF(H14&gt;=75,"✅ 入场","❌ 放弃")))</f>
      </c>
      <c r="J14" s="7" t="s">
        <v>2</v>
      </c>
    </row>
    <row r="15" ht="22" customHeight="1">
      <c r="A15" s="7" t="s">
        <v>2</v>
      </c>
      <c r="B15" s="7" t="s">
        <v>2</v>
      </c>
      <c r="C15" s="7" t="s">
        <v>2</v>
      </c>
      <c r="D15" s="8" t="s">
        <v>2</v>
      </c>
      <c r="E15" s="8" t="s">
        <v>2</v>
      </c>
      <c r="F15" s="8" t="s">
        <v>2</v>
      </c>
      <c r="G15" s="8" t="s">
        <v>2</v>
      </c>
      <c r="H15" s="9">
        <f>IF(COUNTA(D15:G15)=0,"",SUM(D15:G15))</f>
      </c>
      <c r="I15" s="10">
        <f>IF(H15="","",IF(H15&gt;=90,"✅ 高质量-入场",IF(H15&gt;=75,"✅ 入场","❌ 放弃")))</f>
      </c>
      <c r="J15" s="7" t="s">
        <v>2</v>
      </c>
    </row>
    <row r="16" ht="22" customHeight="1">
      <c r="A16" s="7" t="s">
        <v>2</v>
      </c>
      <c r="B16" s="7" t="s">
        <v>2</v>
      </c>
      <c r="C16" s="7" t="s">
        <v>2</v>
      </c>
      <c r="D16" s="8" t="s">
        <v>2</v>
      </c>
      <c r="E16" s="8" t="s">
        <v>2</v>
      </c>
      <c r="F16" s="8" t="s">
        <v>2</v>
      </c>
      <c r="G16" s="8" t="s">
        <v>2</v>
      </c>
      <c r="H16" s="9">
        <f>IF(COUNTA(D16:G16)=0,"",SUM(D16:G16))</f>
      </c>
      <c r="I16" s="10">
        <f>IF(H16="","",IF(H16&gt;=90,"✅ 高质量-入场",IF(H16&gt;=75,"✅ 入场","❌ 放弃")))</f>
      </c>
      <c r="J16" s="7" t="s">
        <v>2</v>
      </c>
    </row>
    <row r="17" ht="22" customHeight="1">
      <c r="A17" s="7" t="s">
        <v>2</v>
      </c>
      <c r="B17" s="7" t="s">
        <v>2</v>
      </c>
      <c r="C17" s="7" t="s">
        <v>2</v>
      </c>
      <c r="D17" s="8" t="s">
        <v>2</v>
      </c>
      <c r="E17" s="8" t="s">
        <v>2</v>
      </c>
      <c r="F17" s="8" t="s">
        <v>2</v>
      </c>
      <c r="G17" s="8" t="s">
        <v>2</v>
      </c>
      <c r="H17" s="9">
        <f>IF(COUNTA(D17:G17)=0,"",SUM(D17:G17))</f>
      </c>
      <c r="I17" s="10">
        <f>IF(H17="","",IF(H17&gt;=90,"✅ 高质量-入场",IF(H17&gt;=75,"✅ 入场","❌ 放弃")))</f>
      </c>
      <c r="J17" s="7" t="s">
        <v>2</v>
      </c>
    </row>
    <row r="18" ht="22" customHeight="1">
      <c r="A18" s="7" t="s">
        <v>2</v>
      </c>
      <c r="B18" s="7" t="s">
        <v>2</v>
      </c>
      <c r="C18" s="7" t="s">
        <v>2</v>
      </c>
      <c r="D18" s="8" t="s">
        <v>2</v>
      </c>
      <c r="E18" s="8" t="s">
        <v>2</v>
      </c>
      <c r="F18" s="8" t="s">
        <v>2</v>
      </c>
      <c r="G18" s="8" t="s">
        <v>2</v>
      </c>
      <c r="H18" s="9">
        <f>IF(COUNTA(D18:G18)=0,"",SUM(D18:G18))</f>
      </c>
      <c r="I18" s="10">
        <f>IF(H18="","",IF(H18&gt;=90,"✅ 高质量-入场",IF(H18&gt;=75,"✅ 入场","❌ 放弃")))</f>
      </c>
      <c r="J18" s="7" t="s">
        <v>2</v>
      </c>
    </row>
    <row r="19" ht="22" customHeight="1">
      <c r="A19" s="7" t="s">
        <v>2</v>
      </c>
      <c r="B19" s="7" t="s">
        <v>2</v>
      </c>
      <c r="C19" s="7" t="s">
        <v>2</v>
      </c>
      <c r="D19" s="8" t="s">
        <v>2</v>
      </c>
      <c r="E19" s="8" t="s">
        <v>2</v>
      </c>
      <c r="F19" s="8" t="s">
        <v>2</v>
      </c>
      <c r="G19" s="8" t="s">
        <v>2</v>
      </c>
      <c r="H19" s="9">
        <f>IF(COUNTA(D19:G19)=0,"",SUM(D19:G19))</f>
      </c>
      <c r="I19" s="10">
        <f>IF(H19="","",IF(H19&gt;=90,"✅ 高质量-入场",IF(H19&gt;=75,"✅ 入场","❌ 放弃")))</f>
      </c>
      <c r="J19" s="7" t="s">
        <v>2</v>
      </c>
    </row>
    <row r="20" ht="22" customHeight="1">
      <c r="A20" s="7" t="s">
        <v>2</v>
      </c>
      <c r="B20" s="7" t="s">
        <v>2</v>
      </c>
      <c r="C20" s="7" t="s">
        <v>2</v>
      </c>
      <c r="D20" s="8" t="s">
        <v>2</v>
      </c>
      <c r="E20" s="8" t="s">
        <v>2</v>
      </c>
      <c r="F20" s="8" t="s">
        <v>2</v>
      </c>
      <c r="G20" s="8" t="s">
        <v>2</v>
      </c>
      <c r="H20" s="9">
        <f>IF(COUNTA(D20:G20)=0,"",SUM(D20:G20))</f>
      </c>
      <c r="I20" s="10">
        <f>IF(H20="","",IF(H20&gt;=90,"✅ 高质量-入场",IF(H20&gt;=75,"✅ 入场","❌ 放弃")))</f>
      </c>
      <c r="J20" s="7" t="s">
        <v>2</v>
      </c>
    </row>
    <row r="21" ht="22" customHeight="1">
      <c r="A21" s="7" t="s">
        <v>2</v>
      </c>
      <c r="B21" s="7" t="s">
        <v>2</v>
      </c>
      <c r="C21" s="7" t="s">
        <v>2</v>
      </c>
      <c r="D21" s="8" t="s">
        <v>2</v>
      </c>
      <c r="E21" s="8" t="s">
        <v>2</v>
      </c>
      <c r="F21" s="8" t="s">
        <v>2</v>
      </c>
      <c r="G21" s="8" t="s">
        <v>2</v>
      </c>
      <c r="H21" s="9">
        <f>IF(COUNTA(D21:G21)=0,"",SUM(D21:G21))</f>
      </c>
      <c r="I21" s="10">
        <f>IF(H21="","",IF(H21&gt;=90,"✅ 高质量-入场",IF(H21&gt;=75,"✅ 入场","❌ 放弃")))</f>
      </c>
      <c r="J21" s="7" t="s">
        <v>2</v>
      </c>
    </row>
    <row r="22" ht="22" customHeight="1">
      <c r="A22" s="7" t="s">
        <v>2</v>
      </c>
      <c r="B22" s="7" t="s">
        <v>2</v>
      </c>
      <c r="C22" s="7" t="s">
        <v>2</v>
      </c>
      <c r="D22" s="8" t="s">
        <v>2</v>
      </c>
      <c r="E22" s="8" t="s">
        <v>2</v>
      </c>
      <c r="F22" s="8" t="s">
        <v>2</v>
      </c>
      <c r="G22" s="8" t="s">
        <v>2</v>
      </c>
      <c r="H22" s="9">
        <f>IF(COUNTA(D22:G22)=0,"",SUM(D22:G22))</f>
      </c>
      <c r="I22" s="10">
        <f>IF(H22="","",IF(H22&gt;=90,"✅ 高质量-入场",IF(H22&gt;=75,"✅ 入场","❌ 放弃")))</f>
      </c>
      <c r="J22" s="7" t="s">
        <v>2</v>
      </c>
    </row>
    <row r="23" ht="22" customHeight="1">
      <c r="A23" s="7" t="s">
        <v>2</v>
      </c>
      <c r="B23" s="7" t="s">
        <v>2</v>
      </c>
      <c r="C23" s="7" t="s">
        <v>2</v>
      </c>
      <c r="D23" s="8" t="s">
        <v>2</v>
      </c>
      <c r="E23" s="8" t="s">
        <v>2</v>
      </c>
      <c r="F23" s="8" t="s">
        <v>2</v>
      </c>
      <c r="G23" s="8" t="s">
        <v>2</v>
      </c>
      <c r="H23" s="9">
        <f>IF(COUNTA(D23:G23)=0,"",SUM(D23:G23))</f>
      </c>
      <c r="I23" s="10">
        <f>IF(H23="","",IF(H23&gt;=90,"✅ 高质量-入场",IF(H23&gt;=75,"✅ 入场","❌ 放弃")))</f>
      </c>
      <c r="J23" s="7" t="s">
        <v>2</v>
      </c>
    </row>
  </sheetData>
  <mergeCells count="7">
    <mergeCell ref="A1:J1"/>
    <mergeCell ref="A2:B2"/>
    <mergeCell ref="C2:C2"/>
    <mergeCell ref="D2:G2"/>
    <mergeCell ref="H2:H2"/>
    <mergeCell ref="I2:I2"/>
    <mergeCell ref="J2:J2"/>
  </mergeCells>
</worksheet>
</file>

<file path=xl/worksheets/sheet3.xml><?xml version="1.0" encoding="utf-8"?>
<worksheet xmlns="http://schemas.openxmlformats.org/spreadsheetml/2006/main">
  <sheetViews>
    <sheetView workbookViewId="0">
      <pane xSplit="2" ySplit="3" topLeftCell="C4" state="frozen"/>
    </sheetView>
  </sheetViews>
  <cols>
    <col min="1" max="1" width="11" customWidth="1"/>
    <col min="2" max="2" width="7" customWidth="1"/>
    <col min="3" max="3" width="16" customWidth="1"/>
    <col min="4" max="4" width="6" customWidth="1"/>
    <col min="5" max="5" width="10" customWidth="1"/>
    <col min="6" max="6" width="10" customWidth="1"/>
    <col min="7" max="7" width="10" customWidth="1"/>
    <col min="8" max="8" width="8" customWidth="1"/>
    <col min="9" max="9" width="8" customWidth="1"/>
    <col min="10" max="10" width="8" customWidth="1"/>
    <col min="11" max="11" width="9" customWidth="1"/>
    <col min="12" max="12" width="9" customWidth="1"/>
    <col min="13" max="13" width="10" customWidth="1"/>
    <col min="14" max="14" width="8" customWidth="1"/>
    <col min="15" max="15" width="10" customWidth="1"/>
    <col min="16" max="16" width="14" customWidth="1"/>
    <col min="17" max="17" width="30" customWidth="1"/>
  </cols>
  <sheetData>
    <row r="1" ht="28" customHeight="1">
      <c r="A1" s="1" t="s">
        <v>81</v>
      </c>
    </row>
    <row r="2" ht="32" customHeight="1">
      <c r="A2" s="5" t="s">
        <v>82</v>
      </c>
      <c r="B2" s="5" t="s">
        <v>83</v>
      </c>
      <c r="C2" s="5" t="s">
        <v>75</v>
      </c>
      <c r="D2" s="5" t="s">
        <v>84</v>
      </c>
      <c r="E2" s="5" t="s">
        <v>85</v>
      </c>
      <c r="F2" s="5" t="s">
        <v>86</v>
      </c>
      <c r="G2" s="5" t="s">
        <v>87</v>
      </c>
      <c r="H2" s="5" t="s">
        <v>88</v>
      </c>
      <c r="I2" s="5" t="s">
        <v>89</v>
      </c>
      <c r="J2" s="5" t="s">
        <v>90</v>
      </c>
      <c r="K2" s="5" t="s">
        <v>91</v>
      </c>
      <c r="L2" s="5" t="s">
        <v>92</v>
      </c>
      <c r="M2" s="5" t="s">
        <v>93</v>
      </c>
      <c r="N2" s="5" t="s">
        <v>94</v>
      </c>
      <c r="O2" s="5" t="s">
        <v>95</v>
      </c>
      <c r="P2" s="5" t="s">
        <v>96</v>
      </c>
      <c r="Q2" s="5" t="s">
        <v>97</v>
      </c>
    </row>
    <row r="3" ht="22" customHeight="1">
      <c r="A3" s="6" t="s">
        <v>98</v>
      </c>
      <c r="B3" s="6" t="s">
        <v>99</v>
      </c>
      <c r="C3" s="6" t="s">
        <v>100</v>
      </c>
      <c r="D3" s="6" t="s">
        <v>101</v>
      </c>
      <c r="E3" s="6" t="s">
        <v>102</v>
      </c>
      <c r="F3" s="6" t="s">
        <v>102</v>
      </c>
      <c r="G3" s="6" t="s">
        <v>102</v>
      </c>
      <c r="H3" s="6" t="s">
        <v>103</v>
      </c>
      <c r="I3" s="6" t="s">
        <v>104</v>
      </c>
      <c r="J3" s="6" t="s">
        <v>105</v>
      </c>
      <c r="K3" s="6" t="s">
        <v>106</v>
      </c>
      <c r="L3" s="6" t="s">
        <v>107</v>
      </c>
      <c r="M3" s="6" t="s">
        <v>108</v>
      </c>
      <c r="N3" s="6" t="s">
        <v>109</v>
      </c>
      <c r="O3" s="6" t="s">
        <v>110</v>
      </c>
      <c r="P3" s="6" t="s">
        <v>111</v>
      </c>
      <c r="Q3" s="6" t="s">
        <v>112</v>
      </c>
    </row>
    <row r="4" ht="22" customHeight="1">
      <c r="A4" s="7" t="s">
        <v>2</v>
      </c>
      <c r="B4" s="7" t="s">
        <v>2</v>
      </c>
      <c r="C4" s="7" t="s">
        <v>2</v>
      </c>
      <c r="D4" s="7" t="s">
        <v>2</v>
      </c>
      <c r="E4" s="11" t="s">
        <v>2</v>
      </c>
      <c r="F4" s="11" t="s">
        <v>2</v>
      </c>
      <c r="G4" s="11" t="s">
        <v>2</v>
      </c>
      <c r="H4" s="12">
        <f>IF(OR(E4="",F4=""),"",ABS(E4-F4))</f>
      </c>
      <c r="I4" s="12">
        <f>IF(OR(E4="",G4=""),"",ABS(G4-E4))</f>
      </c>
      <c r="J4" s="12">
        <f>IF(OR(H4="",I4="",H4=0),"",I4/H4)</f>
      </c>
      <c r="K4" s="8" t="s">
        <v>2</v>
      </c>
      <c r="L4" s="11" t="s">
        <v>2</v>
      </c>
      <c r="M4" s="13">
        <f>IF(OR(L4="",H4="",K4=""),"",L4*H4*5*K4)</f>
      </c>
      <c r="N4" s="8" t="s">
        <v>2</v>
      </c>
      <c r="O4" s="7" t="s">
        <v>2</v>
      </c>
      <c r="P4" s="7" t="s">
        <v>2</v>
      </c>
      <c r="Q4" s="7" t="s">
        <v>2</v>
      </c>
    </row>
    <row r="5" ht="22" customHeight="1">
      <c r="A5" s="7" t="s">
        <v>2</v>
      </c>
      <c r="B5" s="7" t="s">
        <v>2</v>
      </c>
      <c r="C5" s="7" t="s">
        <v>2</v>
      </c>
      <c r="D5" s="7" t="s">
        <v>2</v>
      </c>
      <c r="E5" s="11" t="s">
        <v>2</v>
      </c>
      <c r="F5" s="11" t="s">
        <v>2</v>
      </c>
      <c r="G5" s="11" t="s">
        <v>2</v>
      </c>
      <c r="H5" s="12">
        <f>IF(OR(E5="",F5=""),"",ABS(E5-F5))</f>
      </c>
      <c r="I5" s="12">
        <f>IF(OR(E5="",G5=""),"",ABS(G5-E5))</f>
      </c>
      <c r="J5" s="12">
        <f>IF(OR(H5="",I5="",H5=0),"",I5/H5)</f>
      </c>
      <c r="K5" s="8" t="s">
        <v>2</v>
      </c>
      <c r="L5" s="11" t="s">
        <v>2</v>
      </c>
      <c r="M5" s="13">
        <f>IF(OR(L5="",H5="",K5=""),"",L5*H5*5*K5)</f>
      </c>
      <c r="N5" s="8" t="s">
        <v>2</v>
      </c>
      <c r="O5" s="7" t="s">
        <v>2</v>
      </c>
      <c r="P5" s="7" t="s">
        <v>2</v>
      </c>
      <c r="Q5" s="7" t="s">
        <v>2</v>
      </c>
    </row>
    <row r="6" ht="22" customHeight="1">
      <c r="A6" s="7" t="s">
        <v>2</v>
      </c>
      <c r="B6" s="7" t="s">
        <v>2</v>
      </c>
      <c r="C6" s="7" t="s">
        <v>2</v>
      </c>
      <c r="D6" s="7" t="s">
        <v>2</v>
      </c>
      <c r="E6" s="11" t="s">
        <v>2</v>
      </c>
      <c r="F6" s="11" t="s">
        <v>2</v>
      </c>
      <c r="G6" s="11" t="s">
        <v>2</v>
      </c>
      <c r="H6" s="12">
        <f>IF(OR(E6="",F6=""),"",ABS(E6-F6))</f>
      </c>
      <c r="I6" s="12">
        <f>IF(OR(E6="",G6=""),"",ABS(G6-E6))</f>
      </c>
      <c r="J6" s="12">
        <f>IF(OR(H6="",I6="",H6=0),"",I6/H6)</f>
      </c>
      <c r="K6" s="8" t="s">
        <v>2</v>
      </c>
      <c r="L6" s="11" t="s">
        <v>2</v>
      </c>
      <c r="M6" s="13">
        <f>IF(OR(L6="",H6="",K6=""),"",L6*H6*5*K6)</f>
      </c>
      <c r="N6" s="8" t="s">
        <v>2</v>
      </c>
      <c r="O6" s="7" t="s">
        <v>2</v>
      </c>
      <c r="P6" s="7" t="s">
        <v>2</v>
      </c>
      <c r="Q6" s="7" t="s">
        <v>2</v>
      </c>
    </row>
    <row r="7" ht="22" customHeight="1">
      <c r="A7" s="7" t="s">
        <v>2</v>
      </c>
      <c r="B7" s="7" t="s">
        <v>2</v>
      </c>
      <c r="C7" s="7" t="s">
        <v>2</v>
      </c>
      <c r="D7" s="7" t="s">
        <v>2</v>
      </c>
      <c r="E7" s="11" t="s">
        <v>2</v>
      </c>
      <c r="F7" s="11" t="s">
        <v>2</v>
      </c>
      <c r="G7" s="11" t="s">
        <v>2</v>
      </c>
      <c r="H7" s="12">
        <f>IF(OR(E7="",F7=""),"",ABS(E7-F7))</f>
      </c>
      <c r="I7" s="12">
        <f>IF(OR(E7="",G7=""),"",ABS(G7-E7))</f>
      </c>
      <c r="J7" s="12">
        <f>IF(OR(H7="",I7="",H7=0),"",I7/H7)</f>
      </c>
      <c r="K7" s="8" t="s">
        <v>2</v>
      </c>
      <c r="L7" s="11" t="s">
        <v>2</v>
      </c>
      <c r="M7" s="13">
        <f>IF(OR(L7="",H7="",K7=""),"",L7*H7*5*K7)</f>
      </c>
      <c r="N7" s="8" t="s">
        <v>2</v>
      </c>
      <c r="O7" s="7" t="s">
        <v>2</v>
      </c>
      <c r="P7" s="7" t="s">
        <v>2</v>
      </c>
      <c r="Q7" s="7" t="s">
        <v>2</v>
      </c>
    </row>
    <row r="8" ht="22" customHeight="1">
      <c r="A8" s="7" t="s">
        <v>2</v>
      </c>
      <c r="B8" s="7" t="s">
        <v>2</v>
      </c>
      <c r="C8" s="7" t="s">
        <v>2</v>
      </c>
      <c r="D8" s="7" t="s">
        <v>2</v>
      </c>
      <c r="E8" s="11" t="s">
        <v>2</v>
      </c>
      <c r="F8" s="11" t="s">
        <v>2</v>
      </c>
      <c r="G8" s="11" t="s">
        <v>2</v>
      </c>
      <c r="H8" s="12">
        <f>IF(OR(E8="",F8=""),"",ABS(E8-F8))</f>
      </c>
      <c r="I8" s="12">
        <f>IF(OR(E8="",G8=""),"",ABS(G8-E8))</f>
      </c>
      <c r="J8" s="12">
        <f>IF(OR(H8="",I8="",H8=0),"",I8/H8)</f>
      </c>
      <c r="K8" s="8" t="s">
        <v>2</v>
      </c>
      <c r="L8" s="11" t="s">
        <v>2</v>
      </c>
      <c r="M8" s="13">
        <f>IF(OR(L8="",H8="",K8=""),"",L8*H8*5*K8)</f>
      </c>
      <c r="N8" s="8" t="s">
        <v>2</v>
      </c>
      <c r="O8" s="7" t="s">
        <v>2</v>
      </c>
      <c r="P8" s="7" t="s">
        <v>2</v>
      </c>
      <c r="Q8" s="7" t="s">
        <v>2</v>
      </c>
    </row>
    <row r="9" ht="22" customHeight="1">
      <c r="A9" s="7" t="s">
        <v>2</v>
      </c>
      <c r="B9" s="7" t="s">
        <v>2</v>
      </c>
      <c r="C9" s="7" t="s">
        <v>2</v>
      </c>
      <c r="D9" s="7" t="s">
        <v>2</v>
      </c>
      <c r="E9" s="11" t="s">
        <v>2</v>
      </c>
      <c r="F9" s="11" t="s">
        <v>2</v>
      </c>
      <c r="G9" s="11" t="s">
        <v>2</v>
      </c>
      <c r="H9" s="12">
        <f>IF(OR(E9="",F9=""),"",ABS(E9-F9))</f>
      </c>
      <c r="I9" s="12">
        <f>IF(OR(E9="",G9=""),"",ABS(G9-E9))</f>
      </c>
      <c r="J9" s="12">
        <f>IF(OR(H9="",I9="",H9=0),"",I9/H9)</f>
      </c>
      <c r="K9" s="8" t="s">
        <v>2</v>
      </c>
      <c r="L9" s="11" t="s">
        <v>2</v>
      </c>
      <c r="M9" s="13">
        <f>IF(OR(L9="",H9="",K9=""),"",L9*H9*5*K9)</f>
      </c>
      <c r="N9" s="8" t="s">
        <v>2</v>
      </c>
      <c r="O9" s="7" t="s">
        <v>2</v>
      </c>
      <c r="P9" s="7" t="s">
        <v>2</v>
      </c>
      <c r="Q9" s="7" t="s">
        <v>2</v>
      </c>
    </row>
    <row r="10" ht="22" customHeight="1">
      <c r="A10" s="7" t="s">
        <v>2</v>
      </c>
      <c r="B10" s="7" t="s">
        <v>2</v>
      </c>
      <c r="C10" s="7" t="s">
        <v>2</v>
      </c>
      <c r="D10" s="7" t="s">
        <v>2</v>
      </c>
      <c r="E10" s="11" t="s">
        <v>2</v>
      </c>
      <c r="F10" s="11" t="s">
        <v>2</v>
      </c>
      <c r="G10" s="11" t="s">
        <v>2</v>
      </c>
      <c r="H10" s="12">
        <f>IF(OR(E10="",F10=""),"",ABS(E10-F10))</f>
      </c>
      <c r="I10" s="12">
        <f>IF(OR(E10="",G10=""),"",ABS(G10-E10))</f>
      </c>
      <c r="J10" s="12">
        <f>IF(OR(H10="",I10="",H10=0),"",I10/H10)</f>
      </c>
      <c r="K10" s="8" t="s">
        <v>2</v>
      </c>
      <c r="L10" s="11" t="s">
        <v>2</v>
      </c>
      <c r="M10" s="13">
        <f>IF(OR(L10="",H10="",K10=""),"",L10*H10*5*K10)</f>
      </c>
      <c r="N10" s="8" t="s">
        <v>2</v>
      </c>
      <c r="O10" s="7" t="s">
        <v>2</v>
      </c>
      <c r="P10" s="7" t="s">
        <v>2</v>
      </c>
      <c r="Q10" s="7" t="s">
        <v>2</v>
      </c>
    </row>
    <row r="11" ht="22" customHeight="1">
      <c r="A11" s="7" t="s">
        <v>2</v>
      </c>
      <c r="B11" s="7" t="s">
        <v>2</v>
      </c>
      <c r="C11" s="7" t="s">
        <v>2</v>
      </c>
      <c r="D11" s="7" t="s">
        <v>2</v>
      </c>
      <c r="E11" s="11" t="s">
        <v>2</v>
      </c>
      <c r="F11" s="11" t="s">
        <v>2</v>
      </c>
      <c r="G11" s="11" t="s">
        <v>2</v>
      </c>
      <c r="H11" s="12">
        <f>IF(OR(E11="",F11=""),"",ABS(E11-F11))</f>
      </c>
      <c r="I11" s="12">
        <f>IF(OR(E11="",G11=""),"",ABS(G11-E11))</f>
      </c>
      <c r="J11" s="12">
        <f>IF(OR(H11="",I11="",H11=0),"",I11/H11)</f>
      </c>
      <c r="K11" s="8" t="s">
        <v>2</v>
      </c>
      <c r="L11" s="11" t="s">
        <v>2</v>
      </c>
      <c r="M11" s="13">
        <f>IF(OR(L11="",H11="",K11=""),"",L11*H11*5*K11)</f>
      </c>
      <c r="N11" s="8" t="s">
        <v>2</v>
      </c>
      <c r="O11" s="7" t="s">
        <v>2</v>
      </c>
      <c r="P11" s="7" t="s">
        <v>2</v>
      </c>
      <c r="Q11" s="7" t="s">
        <v>2</v>
      </c>
    </row>
    <row r="12" ht="22" customHeight="1">
      <c r="A12" s="7" t="s">
        <v>2</v>
      </c>
      <c r="B12" s="7" t="s">
        <v>2</v>
      </c>
      <c r="C12" s="7" t="s">
        <v>2</v>
      </c>
      <c r="D12" s="7" t="s">
        <v>2</v>
      </c>
      <c r="E12" s="11" t="s">
        <v>2</v>
      </c>
      <c r="F12" s="11" t="s">
        <v>2</v>
      </c>
      <c r="G12" s="11" t="s">
        <v>2</v>
      </c>
      <c r="H12" s="12">
        <f>IF(OR(E12="",F12=""),"",ABS(E12-F12))</f>
      </c>
      <c r="I12" s="12">
        <f>IF(OR(E12="",G12=""),"",ABS(G12-E12))</f>
      </c>
      <c r="J12" s="12">
        <f>IF(OR(H12="",I12="",H12=0),"",I12/H12)</f>
      </c>
      <c r="K12" s="8" t="s">
        <v>2</v>
      </c>
      <c r="L12" s="11" t="s">
        <v>2</v>
      </c>
      <c r="M12" s="13">
        <f>IF(OR(L12="",H12="",K12=""),"",L12*H12*5*K12)</f>
      </c>
      <c r="N12" s="8" t="s">
        <v>2</v>
      </c>
      <c r="O12" s="7" t="s">
        <v>2</v>
      </c>
      <c r="P12" s="7" t="s">
        <v>2</v>
      </c>
      <c r="Q12" s="7" t="s">
        <v>2</v>
      </c>
    </row>
    <row r="13" ht="22" customHeight="1">
      <c r="A13" s="7" t="s">
        <v>2</v>
      </c>
      <c r="B13" s="7" t="s">
        <v>2</v>
      </c>
      <c r="C13" s="7" t="s">
        <v>2</v>
      </c>
      <c r="D13" s="7" t="s">
        <v>2</v>
      </c>
      <c r="E13" s="11" t="s">
        <v>2</v>
      </c>
      <c r="F13" s="11" t="s">
        <v>2</v>
      </c>
      <c r="G13" s="11" t="s">
        <v>2</v>
      </c>
      <c r="H13" s="12">
        <f>IF(OR(E13="",F13=""),"",ABS(E13-F13))</f>
      </c>
      <c r="I13" s="12">
        <f>IF(OR(E13="",G13=""),"",ABS(G13-E13))</f>
      </c>
      <c r="J13" s="12">
        <f>IF(OR(H13="",I13="",H13=0),"",I13/H13)</f>
      </c>
      <c r="K13" s="8" t="s">
        <v>2</v>
      </c>
      <c r="L13" s="11" t="s">
        <v>2</v>
      </c>
      <c r="M13" s="13">
        <f>IF(OR(L13="",H13="",K13=""),"",L13*H13*5*K13)</f>
      </c>
      <c r="N13" s="8" t="s">
        <v>2</v>
      </c>
      <c r="O13" s="7" t="s">
        <v>2</v>
      </c>
      <c r="P13" s="7" t="s">
        <v>2</v>
      </c>
      <c r="Q13" s="7" t="s">
        <v>2</v>
      </c>
    </row>
    <row r="14" ht="22" customHeight="1">
      <c r="A14" s="7" t="s">
        <v>2</v>
      </c>
      <c r="B14" s="7" t="s">
        <v>2</v>
      </c>
      <c r="C14" s="7" t="s">
        <v>2</v>
      </c>
      <c r="D14" s="7" t="s">
        <v>2</v>
      </c>
      <c r="E14" s="11" t="s">
        <v>2</v>
      </c>
      <c r="F14" s="11" t="s">
        <v>2</v>
      </c>
      <c r="G14" s="11" t="s">
        <v>2</v>
      </c>
      <c r="H14" s="12">
        <f>IF(OR(E14="",F14=""),"",ABS(E14-F14))</f>
      </c>
      <c r="I14" s="12">
        <f>IF(OR(E14="",G14=""),"",ABS(G14-E14))</f>
      </c>
      <c r="J14" s="12">
        <f>IF(OR(H14="",I14="",H14=0),"",I14/H14)</f>
      </c>
      <c r="K14" s="8" t="s">
        <v>2</v>
      </c>
      <c r="L14" s="11" t="s">
        <v>2</v>
      </c>
      <c r="M14" s="13">
        <f>IF(OR(L14="",H14="",K14=""),"",L14*H14*5*K14)</f>
      </c>
      <c r="N14" s="8" t="s">
        <v>2</v>
      </c>
      <c r="O14" s="7" t="s">
        <v>2</v>
      </c>
      <c r="P14" s="7" t="s">
        <v>2</v>
      </c>
      <c r="Q14" s="7" t="s">
        <v>2</v>
      </c>
    </row>
    <row r="15" ht="22" customHeight="1">
      <c r="A15" s="7" t="s">
        <v>2</v>
      </c>
      <c r="B15" s="7" t="s">
        <v>2</v>
      </c>
      <c r="C15" s="7" t="s">
        <v>2</v>
      </c>
      <c r="D15" s="7" t="s">
        <v>2</v>
      </c>
      <c r="E15" s="11" t="s">
        <v>2</v>
      </c>
      <c r="F15" s="11" t="s">
        <v>2</v>
      </c>
      <c r="G15" s="11" t="s">
        <v>2</v>
      </c>
      <c r="H15" s="12">
        <f>IF(OR(E15="",F15=""),"",ABS(E15-F15))</f>
      </c>
      <c r="I15" s="12">
        <f>IF(OR(E15="",G15=""),"",ABS(G15-E15))</f>
      </c>
      <c r="J15" s="12">
        <f>IF(OR(H15="",I15="",H15=0),"",I15/H15)</f>
      </c>
      <c r="K15" s="8" t="s">
        <v>2</v>
      </c>
      <c r="L15" s="11" t="s">
        <v>2</v>
      </c>
      <c r="M15" s="13">
        <f>IF(OR(L15="",H15="",K15=""),"",L15*H15*5*K15)</f>
      </c>
      <c r="N15" s="8" t="s">
        <v>2</v>
      </c>
      <c r="O15" s="7" t="s">
        <v>2</v>
      </c>
      <c r="P15" s="7" t="s">
        <v>2</v>
      </c>
      <c r="Q15" s="7" t="s">
        <v>2</v>
      </c>
    </row>
    <row r="16" ht="22" customHeight="1">
      <c r="A16" s="7" t="s">
        <v>2</v>
      </c>
      <c r="B16" s="7" t="s">
        <v>2</v>
      </c>
      <c r="C16" s="7" t="s">
        <v>2</v>
      </c>
      <c r="D16" s="7" t="s">
        <v>2</v>
      </c>
      <c r="E16" s="11" t="s">
        <v>2</v>
      </c>
      <c r="F16" s="11" t="s">
        <v>2</v>
      </c>
      <c r="G16" s="11" t="s">
        <v>2</v>
      </c>
      <c r="H16" s="12">
        <f>IF(OR(E16="",F16=""),"",ABS(E16-F16))</f>
      </c>
      <c r="I16" s="12">
        <f>IF(OR(E16="",G16=""),"",ABS(G16-E16))</f>
      </c>
      <c r="J16" s="12">
        <f>IF(OR(H16="",I16="",H16=0),"",I16/H16)</f>
      </c>
      <c r="K16" s="8" t="s">
        <v>2</v>
      </c>
      <c r="L16" s="11" t="s">
        <v>2</v>
      </c>
      <c r="M16" s="13">
        <f>IF(OR(L16="",H16="",K16=""),"",L16*H16*5*K16)</f>
      </c>
      <c r="N16" s="8" t="s">
        <v>2</v>
      </c>
      <c r="O16" s="7" t="s">
        <v>2</v>
      </c>
      <c r="P16" s="7" t="s">
        <v>2</v>
      </c>
      <c r="Q16" s="7" t="s">
        <v>2</v>
      </c>
    </row>
    <row r="17" ht="22" customHeight="1">
      <c r="A17" s="7" t="s">
        <v>2</v>
      </c>
      <c r="B17" s="7" t="s">
        <v>2</v>
      </c>
      <c r="C17" s="7" t="s">
        <v>2</v>
      </c>
      <c r="D17" s="7" t="s">
        <v>2</v>
      </c>
      <c r="E17" s="11" t="s">
        <v>2</v>
      </c>
      <c r="F17" s="11" t="s">
        <v>2</v>
      </c>
      <c r="G17" s="11" t="s">
        <v>2</v>
      </c>
      <c r="H17" s="12">
        <f>IF(OR(E17="",F17=""),"",ABS(E17-F17))</f>
      </c>
      <c r="I17" s="12">
        <f>IF(OR(E17="",G17=""),"",ABS(G17-E17))</f>
      </c>
      <c r="J17" s="12">
        <f>IF(OR(H17="",I17="",H17=0),"",I17/H17)</f>
      </c>
      <c r="K17" s="8" t="s">
        <v>2</v>
      </c>
      <c r="L17" s="11" t="s">
        <v>2</v>
      </c>
      <c r="M17" s="13">
        <f>IF(OR(L17="",H17="",K17=""),"",L17*H17*5*K17)</f>
      </c>
      <c r="N17" s="8" t="s">
        <v>2</v>
      </c>
      <c r="O17" s="7" t="s">
        <v>2</v>
      </c>
      <c r="P17" s="7" t="s">
        <v>2</v>
      </c>
      <c r="Q17" s="7" t="s">
        <v>2</v>
      </c>
    </row>
    <row r="18" ht="22" customHeight="1">
      <c r="A18" s="7" t="s">
        <v>2</v>
      </c>
      <c r="B18" s="7" t="s">
        <v>2</v>
      </c>
      <c r="C18" s="7" t="s">
        <v>2</v>
      </c>
      <c r="D18" s="7" t="s">
        <v>2</v>
      </c>
      <c r="E18" s="11" t="s">
        <v>2</v>
      </c>
      <c r="F18" s="11" t="s">
        <v>2</v>
      </c>
      <c r="G18" s="11" t="s">
        <v>2</v>
      </c>
      <c r="H18" s="12">
        <f>IF(OR(E18="",F18=""),"",ABS(E18-F18))</f>
      </c>
      <c r="I18" s="12">
        <f>IF(OR(E18="",G18=""),"",ABS(G18-E18))</f>
      </c>
      <c r="J18" s="12">
        <f>IF(OR(H18="",I18="",H18=0),"",I18/H18)</f>
      </c>
      <c r="K18" s="8" t="s">
        <v>2</v>
      </c>
      <c r="L18" s="11" t="s">
        <v>2</v>
      </c>
      <c r="M18" s="13">
        <f>IF(OR(L18="",H18="",K18=""),"",L18*H18*5*K18)</f>
      </c>
      <c r="N18" s="8" t="s">
        <v>2</v>
      </c>
      <c r="O18" s="7" t="s">
        <v>2</v>
      </c>
      <c r="P18" s="7" t="s">
        <v>2</v>
      </c>
      <c r="Q18" s="7" t="s">
        <v>2</v>
      </c>
    </row>
    <row r="19" ht="22" customHeight="1">
      <c r="A19" s="7" t="s">
        <v>2</v>
      </c>
      <c r="B19" s="7" t="s">
        <v>2</v>
      </c>
      <c r="C19" s="7" t="s">
        <v>2</v>
      </c>
      <c r="D19" s="7" t="s">
        <v>2</v>
      </c>
      <c r="E19" s="11" t="s">
        <v>2</v>
      </c>
      <c r="F19" s="11" t="s">
        <v>2</v>
      </c>
      <c r="G19" s="11" t="s">
        <v>2</v>
      </c>
      <c r="H19" s="12">
        <f>IF(OR(E19="",F19=""),"",ABS(E19-F19))</f>
      </c>
      <c r="I19" s="12">
        <f>IF(OR(E19="",G19=""),"",ABS(G19-E19))</f>
      </c>
      <c r="J19" s="12">
        <f>IF(OR(H19="",I19="",H19=0),"",I19/H19)</f>
      </c>
      <c r="K19" s="8" t="s">
        <v>2</v>
      </c>
      <c r="L19" s="11" t="s">
        <v>2</v>
      </c>
      <c r="M19" s="13">
        <f>IF(OR(L19="",H19="",K19=""),"",L19*H19*5*K19)</f>
      </c>
      <c r="N19" s="8" t="s">
        <v>2</v>
      </c>
      <c r="O19" s="7" t="s">
        <v>2</v>
      </c>
      <c r="P19" s="7" t="s">
        <v>2</v>
      </c>
      <c r="Q19" s="7" t="s">
        <v>2</v>
      </c>
    </row>
    <row r="20" ht="22" customHeight="1">
      <c r="A20" s="7" t="s">
        <v>2</v>
      </c>
      <c r="B20" s="7" t="s">
        <v>2</v>
      </c>
      <c r="C20" s="7" t="s">
        <v>2</v>
      </c>
      <c r="D20" s="7" t="s">
        <v>2</v>
      </c>
      <c r="E20" s="11" t="s">
        <v>2</v>
      </c>
      <c r="F20" s="11" t="s">
        <v>2</v>
      </c>
      <c r="G20" s="11" t="s">
        <v>2</v>
      </c>
      <c r="H20" s="12">
        <f>IF(OR(E20="",F20=""),"",ABS(E20-F20))</f>
      </c>
      <c r="I20" s="12">
        <f>IF(OR(E20="",G20=""),"",ABS(G20-E20))</f>
      </c>
      <c r="J20" s="12">
        <f>IF(OR(H20="",I20="",H20=0),"",I20/H20)</f>
      </c>
      <c r="K20" s="8" t="s">
        <v>2</v>
      </c>
      <c r="L20" s="11" t="s">
        <v>2</v>
      </c>
      <c r="M20" s="13">
        <f>IF(OR(L20="",H20="",K20=""),"",L20*H20*5*K20)</f>
      </c>
      <c r="N20" s="8" t="s">
        <v>2</v>
      </c>
      <c r="O20" s="7" t="s">
        <v>2</v>
      </c>
      <c r="P20" s="7" t="s">
        <v>2</v>
      </c>
      <c r="Q20" s="7" t="s">
        <v>2</v>
      </c>
    </row>
    <row r="21" ht="22" customHeight="1">
      <c r="A21" s="7" t="s">
        <v>2</v>
      </c>
      <c r="B21" s="7" t="s">
        <v>2</v>
      </c>
      <c r="C21" s="7" t="s">
        <v>2</v>
      </c>
      <c r="D21" s="7" t="s">
        <v>2</v>
      </c>
      <c r="E21" s="11" t="s">
        <v>2</v>
      </c>
      <c r="F21" s="11" t="s">
        <v>2</v>
      </c>
      <c r="G21" s="11" t="s">
        <v>2</v>
      </c>
      <c r="H21" s="12">
        <f>IF(OR(E21="",F21=""),"",ABS(E21-F21))</f>
      </c>
      <c r="I21" s="12">
        <f>IF(OR(E21="",G21=""),"",ABS(G21-E21))</f>
      </c>
      <c r="J21" s="12">
        <f>IF(OR(H21="",I21="",H21=0),"",I21/H21)</f>
      </c>
      <c r="K21" s="8" t="s">
        <v>2</v>
      </c>
      <c r="L21" s="11" t="s">
        <v>2</v>
      </c>
      <c r="M21" s="13">
        <f>IF(OR(L21="",H21="",K21=""),"",L21*H21*5*K21)</f>
      </c>
      <c r="N21" s="8" t="s">
        <v>2</v>
      </c>
      <c r="O21" s="7" t="s">
        <v>2</v>
      </c>
      <c r="P21" s="7" t="s">
        <v>2</v>
      </c>
      <c r="Q21" s="7" t="s">
        <v>2</v>
      </c>
    </row>
    <row r="22" ht="22" customHeight="1">
      <c r="A22" s="7" t="s">
        <v>2</v>
      </c>
      <c r="B22" s="7" t="s">
        <v>2</v>
      </c>
      <c r="C22" s="7" t="s">
        <v>2</v>
      </c>
      <c r="D22" s="7" t="s">
        <v>2</v>
      </c>
      <c r="E22" s="11" t="s">
        <v>2</v>
      </c>
      <c r="F22" s="11" t="s">
        <v>2</v>
      </c>
      <c r="G22" s="11" t="s">
        <v>2</v>
      </c>
      <c r="H22" s="12">
        <f>IF(OR(E22="",F22=""),"",ABS(E22-F22))</f>
      </c>
      <c r="I22" s="12">
        <f>IF(OR(E22="",G22=""),"",ABS(G22-E22))</f>
      </c>
      <c r="J22" s="12">
        <f>IF(OR(H22="",I22="",H22=0),"",I22/H22)</f>
      </c>
      <c r="K22" s="8" t="s">
        <v>2</v>
      </c>
      <c r="L22" s="11" t="s">
        <v>2</v>
      </c>
      <c r="M22" s="13">
        <f>IF(OR(L22="",H22="",K22=""),"",L22*H22*5*K22)</f>
      </c>
      <c r="N22" s="8" t="s">
        <v>2</v>
      </c>
      <c r="O22" s="7" t="s">
        <v>2</v>
      </c>
      <c r="P22" s="7" t="s">
        <v>2</v>
      </c>
      <c r="Q22" s="7" t="s">
        <v>2</v>
      </c>
    </row>
    <row r="23" ht="22" customHeight="1">
      <c r="A23" s="7" t="s">
        <v>2</v>
      </c>
      <c r="B23" s="7" t="s">
        <v>2</v>
      </c>
      <c r="C23" s="7" t="s">
        <v>2</v>
      </c>
      <c r="D23" s="7" t="s">
        <v>2</v>
      </c>
      <c r="E23" s="11" t="s">
        <v>2</v>
      </c>
      <c r="F23" s="11" t="s">
        <v>2</v>
      </c>
      <c r="G23" s="11" t="s">
        <v>2</v>
      </c>
      <c r="H23" s="12">
        <f>IF(OR(E23="",F23=""),"",ABS(E23-F23))</f>
      </c>
      <c r="I23" s="12">
        <f>IF(OR(E23="",G23=""),"",ABS(G23-E23))</f>
      </c>
      <c r="J23" s="12">
        <f>IF(OR(H23="",I23="",H23=0),"",I23/H23)</f>
      </c>
      <c r="K23" s="8" t="s">
        <v>2</v>
      </c>
      <c r="L23" s="11" t="s">
        <v>2</v>
      </c>
      <c r="M23" s="13">
        <f>IF(OR(L23="",H23="",K23=""),"",L23*H23*5*K23)</f>
      </c>
      <c r="N23" s="8" t="s">
        <v>2</v>
      </c>
      <c r="O23" s="7" t="s">
        <v>2</v>
      </c>
      <c r="P23" s="7" t="s">
        <v>2</v>
      </c>
      <c r="Q23" s="7" t="s">
        <v>2</v>
      </c>
    </row>
    <row r="24" ht="22" customHeight="1">
      <c r="A24" s="7" t="s">
        <v>2</v>
      </c>
      <c r="B24" s="7" t="s">
        <v>2</v>
      </c>
      <c r="C24" s="7" t="s">
        <v>2</v>
      </c>
      <c r="D24" s="7" t="s">
        <v>2</v>
      </c>
      <c r="E24" s="11" t="s">
        <v>2</v>
      </c>
      <c r="F24" s="11" t="s">
        <v>2</v>
      </c>
      <c r="G24" s="11" t="s">
        <v>2</v>
      </c>
      <c r="H24" s="12">
        <f>IF(OR(E24="",F24=""),"",ABS(E24-F24))</f>
      </c>
      <c r="I24" s="12">
        <f>IF(OR(E24="",G24=""),"",ABS(G24-E24))</f>
      </c>
      <c r="J24" s="12">
        <f>IF(OR(H24="",I24="",H24=0),"",I24/H24)</f>
      </c>
      <c r="K24" s="8" t="s">
        <v>2</v>
      </c>
      <c r="L24" s="11" t="s">
        <v>2</v>
      </c>
      <c r="M24" s="13">
        <f>IF(OR(L24="",H24="",K24=""),"",L24*H24*5*K24)</f>
      </c>
      <c r="N24" s="8" t="s">
        <v>2</v>
      </c>
      <c r="O24" s="7" t="s">
        <v>2</v>
      </c>
      <c r="P24" s="7" t="s">
        <v>2</v>
      </c>
      <c r="Q24" s="7" t="s">
        <v>2</v>
      </c>
    </row>
    <row r="25" ht="22" customHeight="1">
      <c r="A25" s="7" t="s">
        <v>2</v>
      </c>
      <c r="B25" s="7" t="s">
        <v>2</v>
      </c>
      <c r="C25" s="7" t="s">
        <v>2</v>
      </c>
      <c r="D25" s="7" t="s">
        <v>2</v>
      </c>
      <c r="E25" s="11" t="s">
        <v>2</v>
      </c>
      <c r="F25" s="11" t="s">
        <v>2</v>
      </c>
      <c r="G25" s="11" t="s">
        <v>2</v>
      </c>
      <c r="H25" s="12">
        <f>IF(OR(E25="",F25=""),"",ABS(E25-F25))</f>
      </c>
      <c r="I25" s="12">
        <f>IF(OR(E25="",G25=""),"",ABS(G25-E25))</f>
      </c>
      <c r="J25" s="12">
        <f>IF(OR(H25="",I25="",H25=0),"",I25/H25)</f>
      </c>
      <c r="K25" s="8" t="s">
        <v>2</v>
      </c>
      <c r="L25" s="11" t="s">
        <v>2</v>
      </c>
      <c r="M25" s="13">
        <f>IF(OR(L25="",H25="",K25=""),"",L25*H25*5*K25)</f>
      </c>
      <c r="N25" s="8" t="s">
        <v>2</v>
      </c>
      <c r="O25" s="7" t="s">
        <v>2</v>
      </c>
      <c r="P25" s="7" t="s">
        <v>2</v>
      </c>
      <c r="Q25" s="7" t="s">
        <v>2</v>
      </c>
    </row>
    <row r="26" ht="22" customHeight="1">
      <c r="A26" s="7" t="s">
        <v>2</v>
      </c>
      <c r="B26" s="7" t="s">
        <v>2</v>
      </c>
      <c r="C26" s="7" t="s">
        <v>2</v>
      </c>
      <c r="D26" s="7" t="s">
        <v>2</v>
      </c>
      <c r="E26" s="11" t="s">
        <v>2</v>
      </c>
      <c r="F26" s="11" t="s">
        <v>2</v>
      </c>
      <c r="G26" s="11" t="s">
        <v>2</v>
      </c>
      <c r="H26" s="12">
        <f>IF(OR(E26="",F26=""),"",ABS(E26-F26))</f>
      </c>
      <c r="I26" s="12">
        <f>IF(OR(E26="",G26=""),"",ABS(G26-E26))</f>
      </c>
      <c r="J26" s="12">
        <f>IF(OR(H26="",I26="",H26=0),"",I26/H26)</f>
      </c>
      <c r="K26" s="8" t="s">
        <v>2</v>
      </c>
      <c r="L26" s="11" t="s">
        <v>2</v>
      </c>
      <c r="M26" s="13">
        <f>IF(OR(L26="",H26="",K26=""),"",L26*H26*5*K26)</f>
      </c>
      <c r="N26" s="8" t="s">
        <v>2</v>
      </c>
      <c r="O26" s="7" t="s">
        <v>2</v>
      </c>
      <c r="P26" s="7" t="s">
        <v>2</v>
      </c>
      <c r="Q26" s="7" t="s">
        <v>2</v>
      </c>
    </row>
    <row r="27" ht="22" customHeight="1">
      <c r="A27" s="7" t="s">
        <v>2</v>
      </c>
      <c r="B27" s="7" t="s">
        <v>2</v>
      </c>
      <c r="C27" s="7" t="s">
        <v>2</v>
      </c>
      <c r="D27" s="7" t="s">
        <v>2</v>
      </c>
      <c r="E27" s="11" t="s">
        <v>2</v>
      </c>
      <c r="F27" s="11" t="s">
        <v>2</v>
      </c>
      <c r="G27" s="11" t="s">
        <v>2</v>
      </c>
      <c r="H27" s="12">
        <f>IF(OR(E27="",F27=""),"",ABS(E27-F27))</f>
      </c>
      <c r="I27" s="12">
        <f>IF(OR(E27="",G27=""),"",ABS(G27-E27))</f>
      </c>
      <c r="J27" s="12">
        <f>IF(OR(H27="",I27="",H27=0),"",I27/H27)</f>
      </c>
      <c r="K27" s="8" t="s">
        <v>2</v>
      </c>
      <c r="L27" s="11" t="s">
        <v>2</v>
      </c>
      <c r="M27" s="13">
        <f>IF(OR(L27="",H27="",K27=""),"",L27*H27*5*K27)</f>
      </c>
      <c r="N27" s="8" t="s">
        <v>2</v>
      </c>
      <c r="O27" s="7" t="s">
        <v>2</v>
      </c>
      <c r="P27" s="7" t="s">
        <v>2</v>
      </c>
      <c r="Q27" s="7" t="s">
        <v>2</v>
      </c>
    </row>
    <row r="28" ht="22" customHeight="1">
      <c r="A28" s="7" t="s">
        <v>2</v>
      </c>
      <c r="B28" s="7" t="s">
        <v>2</v>
      </c>
      <c r="C28" s="7" t="s">
        <v>2</v>
      </c>
      <c r="D28" s="7" t="s">
        <v>2</v>
      </c>
      <c r="E28" s="11" t="s">
        <v>2</v>
      </c>
      <c r="F28" s="11" t="s">
        <v>2</v>
      </c>
      <c r="G28" s="11" t="s">
        <v>2</v>
      </c>
      <c r="H28" s="12">
        <f>IF(OR(E28="",F28=""),"",ABS(E28-F28))</f>
      </c>
      <c r="I28" s="12">
        <f>IF(OR(E28="",G28=""),"",ABS(G28-E28))</f>
      </c>
      <c r="J28" s="12">
        <f>IF(OR(H28="",I28="",H28=0),"",I28/H28)</f>
      </c>
      <c r="K28" s="8" t="s">
        <v>2</v>
      </c>
      <c r="L28" s="11" t="s">
        <v>2</v>
      </c>
      <c r="M28" s="13">
        <f>IF(OR(L28="",H28="",K28=""),"",L28*H28*5*K28)</f>
      </c>
      <c r="N28" s="8" t="s">
        <v>2</v>
      </c>
      <c r="O28" s="7" t="s">
        <v>2</v>
      </c>
      <c r="P28" s="7" t="s">
        <v>2</v>
      </c>
      <c r="Q28" s="7" t="s">
        <v>2</v>
      </c>
    </row>
    <row r="29" ht="22" customHeight="1">
      <c r="A29" s="7" t="s">
        <v>2</v>
      </c>
      <c r="B29" s="7" t="s">
        <v>2</v>
      </c>
      <c r="C29" s="7" t="s">
        <v>2</v>
      </c>
      <c r="D29" s="7" t="s">
        <v>2</v>
      </c>
      <c r="E29" s="11" t="s">
        <v>2</v>
      </c>
      <c r="F29" s="11" t="s">
        <v>2</v>
      </c>
      <c r="G29" s="11" t="s">
        <v>2</v>
      </c>
      <c r="H29" s="12">
        <f>IF(OR(E29="",F29=""),"",ABS(E29-F29))</f>
      </c>
      <c r="I29" s="12">
        <f>IF(OR(E29="",G29=""),"",ABS(G29-E29))</f>
      </c>
      <c r="J29" s="12">
        <f>IF(OR(H29="",I29="",H29=0),"",I29/H29)</f>
      </c>
      <c r="K29" s="8" t="s">
        <v>2</v>
      </c>
      <c r="L29" s="11" t="s">
        <v>2</v>
      </c>
      <c r="M29" s="13">
        <f>IF(OR(L29="",H29="",K29=""),"",L29*H29*5*K29)</f>
      </c>
      <c r="N29" s="8" t="s">
        <v>2</v>
      </c>
      <c r="O29" s="7" t="s">
        <v>2</v>
      </c>
      <c r="P29" s="7" t="s">
        <v>2</v>
      </c>
      <c r="Q29" s="7" t="s">
        <v>2</v>
      </c>
    </row>
    <row r="30" ht="22" customHeight="1">
      <c r="A30" s="7" t="s">
        <v>2</v>
      </c>
      <c r="B30" s="7" t="s">
        <v>2</v>
      </c>
      <c r="C30" s="7" t="s">
        <v>2</v>
      </c>
      <c r="D30" s="7" t="s">
        <v>2</v>
      </c>
      <c r="E30" s="11" t="s">
        <v>2</v>
      </c>
      <c r="F30" s="11" t="s">
        <v>2</v>
      </c>
      <c r="G30" s="11" t="s">
        <v>2</v>
      </c>
      <c r="H30" s="12">
        <f>IF(OR(E30="",F30=""),"",ABS(E30-F30))</f>
      </c>
      <c r="I30" s="12">
        <f>IF(OR(E30="",G30=""),"",ABS(G30-E30))</f>
      </c>
      <c r="J30" s="12">
        <f>IF(OR(H30="",I30="",H30=0),"",I30/H30)</f>
      </c>
      <c r="K30" s="8" t="s">
        <v>2</v>
      </c>
      <c r="L30" s="11" t="s">
        <v>2</v>
      </c>
      <c r="M30" s="13">
        <f>IF(OR(L30="",H30="",K30=""),"",L30*H30*5*K30)</f>
      </c>
      <c r="N30" s="8" t="s">
        <v>2</v>
      </c>
      <c r="O30" s="7" t="s">
        <v>2</v>
      </c>
      <c r="P30" s="7" t="s">
        <v>2</v>
      </c>
      <c r="Q30" s="7" t="s">
        <v>2</v>
      </c>
    </row>
    <row r="31" ht="22" customHeight="1">
      <c r="A31" s="7" t="s">
        <v>2</v>
      </c>
      <c r="B31" s="7" t="s">
        <v>2</v>
      </c>
      <c r="C31" s="7" t="s">
        <v>2</v>
      </c>
      <c r="D31" s="7" t="s">
        <v>2</v>
      </c>
      <c r="E31" s="11" t="s">
        <v>2</v>
      </c>
      <c r="F31" s="11" t="s">
        <v>2</v>
      </c>
      <c r="G31" s="11" t="s">
        <v>2</v>
      </c>
      <c r="H31" s="12">
        <f>IF(OR(E31="",F31=""),"",ABS(E31-F31))</f>
      </c>
      <c r="I31" s="12">
        <f>IF(OR(E31="",G31=""),"",ABS(G31-E31))</f>
      </c>
      <c r="J31" s="12">
        <f>IF(OR(H31="",I31="",H31=0),"",I31/H31)</f>
      </c>
      <c r="K31" s="8" t="s">
        <v>2</v>
      </c>
      <c r="L31" s="11" t="s">
        <v>2</v>
      </c>
      <c r="M31" s="13">
        <f>IF(OR(L31="",H31="",K31=""),"",L31*H31*5*K31)</f>
      </c>
      <c r="N31" s="8" t="s">
        <v>2</v>
      </c>
      <c r="O31" s="7" t="s">
        <v>2</v>
      </c>
      <c r="P31" s="7" t="s">
        <v>2</v>
      </c>
      <c r="Q31" s="7" t="s">
        <v>2</v>
      </c>
    </row>
    <row r="32" ht="22" customHeight="1">
      <c r="A32" s="7" t="s">
        <v>2</v>
      </c>
      <c r="B32" s="7" t="s">
        <v>2</v>
      </c>
      <c r="C32" s="7" t="s">
        <v>2</v>
      </c>
      <c r="D32" s="7" t="s">
        <v>2</v>
      </c>
      <c r="E32" s="11" t="s">
        <v>2</v>
      </c>
      <c r="F32" s="11" t="s">
        <v>2</v>
      </c>
      <c r="G32" s="11" t="s">
        <v>2</v>
      </c>
      <c r="H32" s="12">
        <f>IF(OR(E32="",F32=""),"",ABS(E32-F32))</f>
      </c>
      <c r="I32" s="12">
        <f>IF(OR(E32="",G32=""),"",ABS(G32-E32))</f>
      </c>
      <c r="J32" s="12">
        <f>IF(OR(H32="",I32="",H32=0),"",I32/H32)</f>
      </c>
      <c r="K32" s="8" t="s">
        <v>2</v>
      </c>
      <c r="L32" s="11" t="s">
        <v>2</v>
      </c>
      <c r="M32" s="13">
        <f>IF(OR(L32="",H32="",K32=""),"",L32*H32*5*K32)</f>
      </c>
      <c r="N32" s="8" t="s">
        <v>2</v>
      </c>
      <c r="O32" s="7" t="s">
        <v>2</v>
      </c>
      <c r="P32" s="7" t="s">
        <v>2</v>
      </c>
      <c r="Q32" s="7" t="s">
        <v>2</v>
      </c>
    </row>
    <row r="33" ht="22" customHeight="1">
      <c r="A33" s="7" t="s">
        <v>2</v>
      </c>
      <c r="B33" s="7" t="s">
        <v>2</v>
      </c>
      <c r="C33" s="7" t="s">
        <v>2</v>
      </c>
      <c r="D33" s="7" t="s">
        <v>2</v>
      </c>
      <c r="E33" s="11" t="s">
        <v>2</v>
      </c>
      <c r="F33" s="11" t="s">
        <v>2</v>
      </c>
      <c r="G33" s="11" t="s">
        <v>2</v>
      </c>
      <c r="H33" s="12">
        <f>IF(OR(E33="",F33=""),"",ABS(E33-F33))</f>
      </c>
      <c r="I33" s="12">
        <f>IF(OR(E33="",G33=""),"",ABS(G33-E33))</f>
      </c>
      <c r="J33" s="12">
        <f>IF(OR(H33="",I33="",H33=0),"",I33/H33)</f>
      </c>
      <c r="K33" s="8" t="s">
        <v>2</v>
      </c>
      <c r="L33" s="11" t="s">
        <v>2</v>
      </c>
      <c r="M33" s="13">
        <f>IF(OR(L33="",H33="",K33=""),"",L33*H33*5*K33)</f>
      </c>
      <c r="N33" s="8" t="s">
        <v>2</v>
      </c>
      <c r="O33" s="7" t="s">
        <v>2</v>
      </c>
      <c r="P33" s="7" t="s">
        <v>2</v>
      </c>
      <c r="Q33" s="7" t="s">
        <v>2</v>
      </c>
    </row>
    <row r="34" ht="22" customHeight="1">
      <c r="A34" s="7" t="s">
        <v>2</v>
      </c>
      <c r="B34" s="7" t="s">
        <v>2</v>
      </c>
      <c r="C34" s="7" t="s">
        <v>2</v>
      </c>
      <c r="D34" s="7" t="s">
        <v>2</v>
      </c>
      <c r="E34" s="11" t="s">
        <v>2</v>
      </c>
      <c r="F34" s="11" t="s">
        <v>2</v>
      </c>
      <c r="G34" s="11" t="s">
        <v>2</v>
      </c>
      <c r="H34" s="12">
        <f>IF(OR(E34="",F34=""),"",ABS(E34-F34))</f>
      </c>
      <c r="I34" s="12">
        <f>IF(OR(E34="",G34=""),"",ABS(G34-E34))</f>
      </c>
      <c r="J34" s="12">
        <f>IF(OR(H34="",I34="",H34=0),"",I34/H34)</f>
      </c>
      <c r="K34" s="8" t="s">
        <v>2</v>
      </c>
      <c r="L34" s="11" t="s">
        <v>2</v>
      </c>
      <c r="M34" s="13">
        <f>IF(OR(L34="",H34="",K34=""),"",L34*H34*5*K34)</f>
      </c>
      <c r="N34" s="8" t="s">
        <v>2</v>
      </c>
      <c r="O34" s="7" t="s">
        <v>2</v>
      </c>
      <c r="P34" s="7" t="s">
        <v>2</v>
      </c>
      <c r="Q34" s="7" t="s">
        <v>2</v>
      </c>
    </row>
    <row r="35" ht="22" customHeight="1">
      <c r="A35" s="7" t="s">
        <v>2</v>
      </c>
      <c r="B35" s="7" t="s">
        <v>2</v>
      </c>
      <c r="C35" s="7" t="s">
        <v>2</v>
      </c>
      <c r="D35" s="7" t="s">
        <v>2</v>
      </c>
      <c r="E35" s="11" t="s">
        <v>2</v>
      </c>
      <c r="F35" s="11" t="s">
        <v>2</v>
      </c>
      <c r="G35" s="11" t="s">
        <v>2</v>
      </c>
      <c r="H35" s="12">
        <f>IF(OR(E35="",F35=""),"",ABS(E35-F35))</f>
      </c>
      <c r="I35" s="12">
        <f>IF(OR(E35="",G35=""),"",ABS(G35-E35))</f>
      </c>
      <c r="J35" s="12">
        <f>IF(OR(H35="",I35="",H35=0),"",I35/H35)</f>
      </c>
      <c r="K35" s="8" t="s">
        <v>2</v>
      </c>
      <c r="L35" s="11" t="s">
        <v>2</v>
      </c>
      <c r="M35" s="13">
        <f>IF(OR(L35="",H35="",K35=""),"",L35*H35*5*K35)</f>
      </c>
      <c r="N35" s="8" t="s">
        <v>2</v>
      </c>
      <c r="O35" s="7" t="s">
        <v>2</v>
      </c>
      <c r="P35" s="7" t="s">
        <v>2</v>
      </c>
      <c r="Q35" s="7" t="s">
        <v>2</v>
      </c>
    </row>
    <row r="36" ht="22" customHeight="1">
      <c r="A36" s="7" t="s">
        <v>2</v>
      </c>
      <c r="B36" s="7" t="s">
        <v>2</v>
      </c>
      <c r="C36" s="7" t="s">
        <v>2</v>
      </c>
      <c r="D36" s="7" t="s">
        <v>2</v>
      </c>
      <c r="E36" s="11" t="s">
        <v>2</v>
      </c>
      <c r="F36" s="11" t="s">
        <v>2</v>
      </c>
      <c r="G36" s="11" t="s">
        <v>2</v>
      </c>
      <c r="H36" s="12">
        <f>IF(OR(E36="",F36=""),"",ABS(E36-F36))</f>
      </c>
      <c r="I36" s="12">
        <f>IF(OR(E36="",G36=""),"",ABS(G36-E36))</f>
      </c>
      <c r="J36" s="12">
        <f>IF(OR(H36="",I36="",H36=0),"",I36/H36)</f>
      </c>
      <c r="K36" s="8" t="s">
        <v>2</v>
      </c>
      <c r="L36" s="11" t="s">
        <v>2</v>
      </c>
      <c r="M36" s="13">
        <f>IF(OR(L36="",H36="",K36=""),"",L36*H36*5*K36)</f>
      </c>
      <c r="N36" s="8" t="s">
        <v>2</v>
      </c>
      <c r="O36" s="7" t="s">
        <v>2</v>
      </c>
      <c r="P36" s="7" t="s">
        <v>2</v>
      </c>
      <c r="Q36" s="7" t="s">
        <v>2</v>
      </c>
    </row>
    <row r="37" ht="22" customHeight="1">
      <c r="A37" s="7" t="s">
        <v>2</v>
      </c>
      <c r="B37" s="7" t="s">
        <v>2</v>
      </c>
      <c r="C37" s="7" t="s">
        <v>2</v>
      </c>
      <c r="D37" s="7" t="s">
        <v>2</v>
      </c>
      <c r="E37" s="11" t="s">
        <v>2</v>
      </c>
      <c r="F37" s="11" t="s">
        <v>2</v>
      </c>
      <c r="G37" s="11" t="s">
        <v>2</v>
      </c>
      <c r="H37" s="12">
        <f>IF(OR(E37="",F37=""),"",ABS(E37-F37))</f>
      </c>
      <c r="I37" s="12">
        <f>IF(OR(E37="",G37=""),"",ABS(G37-E37))</f>
      </c>
      <c r="J37" s="12">
        <f>IF(OR(H37="",I37="",H37=0),"",I37/H37)</f>
      </c>
      <c r="K37" s="8" t="s">
        <v>2</v>
      </c>
      <c r="L37" s="11" t="s">
        <v>2</v>
      </c>
      <c r="M37" s="13">
        <f>IF(OR(L37="",H37="",K37=""),"",L37*H37*5*K37)</f>
      </c>
      <c r="N37" s="8" t="s">
        <v>2</v>
      </c>
      <c r="O37" s="7" t="s">
        <v>2</v>
      </c>
      <c r="P37" s="7" t="s">
        <v>2</v>
      </c>
      <c r="Q37" s="7" t="s">
        <v>2</v>
      </c>
    </row>
    <row r="38" ht="22" customHeight="1">
      <c r="A38" s="7" t="s">
        <v>2</v>
      </c>
      <c r="B38" s="7" t="s">
        <v>2</v>
      </c>
      <c r="C38" s="7" t="s">
        <v>2</v>
      </c>
      <c r="D38" s="7" t="s">
        <v>2</v>
      </c>
      <c r="E38" s="11" t="s">
        <v>2</v>
      </c>
      <c r="F38" s="11" t="s">
        <v>2</v>
      </c>
      <c r="G38" s="11" t="s">
        <v>2</v>
      </c>
      <c r="H38" s="12">
        <f>IF(OR(E38="",F38=""),"",ABS(E38-F38))</f>
      </c>
      <c r="I38" s="12">
        <f>IF(OR(E38="",G38=""),"",ABS(G38-E38))</f>
      </c>
      <c r="J38" s="12">
        <f>IF(OR(H38="",I38="",H38=0),"",I38/H38)</f>
      </c>
      <c r="K38" s="8" t="s">
        <v>2</v>
      </c>
      <c r="L38" s="11" t="s">
        <v>2</v>
      </c>
      <c r="M38" s="13">
        <f>IF(OR(L38="",H38="",K38=""),"",L38*H38*5*K38)</f>
      </c>
      <c r="N38" s="8" t="s">
        <v>2</v>
      </c>
      <c r="O38" s="7" t="s">
        <v>2</v>
      </c>
      <c r="P38" s="7" t="s">
        <v>2</v>
      </c>
      <c r="Q38" s="7" t="s">
        <v>2</v>
      </c>
    </row>
    <row r="39" ht="22" customHeight="1">
      <c r="A39" s="7" t="s">
        <v>2</v>
      </c>
      <c r="B39" s="7" t="s">
        <v>2</v>
      </c>
      <c r="C39" s="7" t="s">
        <v>2</v>
      </c>
      <c r="D39" s="7" t="s">
        <v>2</v>
      </c>
      <c r="E39" s="11" t="s">
        <v>2</v>
      </c>
      <c r="F39" s="11" t="s">
        <v>2</v>
      </c>
      <c r="G39" s="11" t="s">
        <v>2</v>
      </c>
      <c r="H39" s="12">
        <f>IF(OR(E39="",F39=""),"",ABS(E39-F39))</f>
      </c>
      <c r="I39" s="12">
        <f>IF(OR(E39="",G39=""),"",ABS(G39-E39))</f>
      </c>
      <c r="J39" s="12">
        <f>IF(OR(H39="",I39="",H39=0),"",I39/H39)</f>
      </c>
      <c r="K39" s="8" t="s">
        <v>2</v>
      </c>
      <c r="L39" s="11" t="s">
        <v>2</v>
      </c>
      <c r="M39" s="13">
        <f>IF(OR(L39="",H39="",K39=""),"",L39*H39*5*K39)</f>
      </c>
      <c r="N39" s="8" t="s">
        <v>2</v>
      </c>
      <c r="O39" s="7" t="s">
        <v>2</v>
      </c>
      <c r="P39" s="7" t="s">
        <v>2</v>
      </c>
      <c r="Q39" s="7" t="s">
        <v>2</v>
      </c>
    </row>
    <row r="40" ht="22" customHeight="1">
      <c r="A40" s="7" t="s">
        <v>2</v>
      </c>
      <c r="B40" s="7" t="s">
        <v>2</v>
      </c>
      <c r="C40" s="7" t="s">
        <v>2</v>
      </c>
      <c r="D40" s="7" t="s">
        <v>2</v>
      </c>
      <c r="E40" s="11" t="s">
        <v>2</v>
      </c>
      <c r="F40" s="11" t="s">
        <v>2</v>
      </c>
      <c r="G40" s="11" t="s">
        <v>2</v>
      </c>
      <c r="H40" s="12">
        <f>IF(OR(E40="",F40=""),"",ABS(E40-F40))</f>
      </c>
      <c r="I40" s="12">
        <f>IF(OR(E40="",G40=""),"",ABS(G40-E40))</f>
      </c>
      <c r="J40" s="12">
        <f>IF(OR(H40="",I40="",H40=0),"",I40/H40)</f>
      </c>
      <c r="K40" s="8" t="s">
        <v>2</v>
      </c>
      <c r="L40" s="11" t="s">
        <v>2</v>
      </c>
      <c r="M40" s="13">
        <f>IF(OR(L40="",H40="",K40=""),"",L40*H40*5*K40)</f>
      </c>
      <c r="N40" s="8" t="s">
        <v>2</v>
      </c>
      <c r="O40" s="7" t="s">
        <v>2</v>
      </c>
      <c r="P40" s="7" t="s">
        <v>2</v>
      </c>
      <c r="Q40" s="7" t="s">
        <v>2</v>
      </c>
    </row>
    <row r="41" ht="22" customHeight="1">
      <c r="A41" s="7" t="s">
        <v>2</v>
      </c>
      <c r="B41" s="7" t="s">
        <v>2</v>
      </c>
      <c r="C41" s="7" t="s">
        <v>2</v>
      </c>
      <c r="D41" s="7" t="s">
        <v>2</v>
      </c>
      <c r="E41" s="11" t="s">
        <v>2</v>
      </c>
      <c r="F41" s="11" t="s">
        <v>2</v>
      </c>
      <c r="G41" s="11" t="s">
        <v>2</v>
      </c>
      <c r="H41" s="12">
        <f>IF(OR(E41="",F41=""),"",ABS(E41-F41))</f>
      </c>
      <c r="I41" s="12">
        <f>IF(OR(E41="",G41=""),"",ABS(G41-E41))</f>
      </c>
      <c r="J41" s="12">
        <f>IF(OR(H41="",I41="",H41=0),"",I41/H41)</f>
      </c>
      <c r="K41" s="8" t="s">
        <v>2</v>
      </c>
      <c r="L41" s="11" t="s">
        <v>2</v>
      </c>
      <c r="M41" s="13">
        <f>IF(OR(L41="",H41="",K41=""),"",L41*H41*5*K41)</f>
      </c>
      <c r="N41" s="8" t="s">
        <v>2</v>
      </c>
      <c r="O41" s="7" t="s">
        <v>2</v>
      </c>
      <c r="P41" s="7" t="s">
        <v>2</v>
      </c>
      <c r="Q41" s="7" t="s">
        <v>2</v>
      </c>
    </row>
    <row r="42" ht="22" customHeight="1">
      <c r="A42" s="7" t="s">
        <v>2</v>
      </c>
      <c r="B42" s="7" t="s">
        <v>2</v>
      </c>
      <c r="C42" s="7" t="s">
        <v>2</v>
      </c>
      <c r="D42" s="7" t="s">
        <v>2</v>
      </c>
      <c r="E42" s="11" t="s">
        <v>2</v>
      </c>
      <c r="F42" s="11" t="s">
        <v>2</v>
      </c>
      <c r="G42" s="11" t="s">
        <v>2</v>
      </c>
      <c r="H42" s="12">
        <f>IF(OR(E42="",F42=""),"",ABS(E42-F42))</f>
      </c>
      <c r="I42" s="12">
        <f>IF(OR(E42="",G42=""),"",ABS(G42-E42))</f>
      </c>
      <c r="J42" s="12">
        <f>IF(OR(H42="",I42="",H42=0),"",I42/H42)</f>
      </c>
      <c r="K42" s="8" t="s">
        <v>2</v>
      </c>
      <c r="L42" s="11" t="s">
        <v>2</v>
      </c>
      <c r="M42" s="13">
        <f>IF(OR(L42="",H42="",K42=""),"",L42*H42*5*K42)</f>
      </c>
      <c r="N42" s="8" t="s">
        <v>2</v>
      </c>
      <c r="O42" s="7" t="s">
        <v>2</v>
      </c>
      <c r="P42" s="7" t="s">
        <v>2</v>
      </c>
      <c r="Q42" s="7" t="s">
        <v>2</v>
      </c>
    </row>
    <row r="43" ht="22" customHeight="1">
      <c r="A43" s="7" t="s">
        <v>2</v>
      </c>
      <c r="B43" s="7" t="s">
        <v>2</v>
      </c>
      <c r="C43" s="7" t="s">
        <v>2</v>
      </c>
      <c r="D43" s="7" t="s">
        <v>2</v>
      </c>
      <c r="E43" s="11" t="s">
        <v>2</v>
      </c>
      <c r="F43" s="11" t="s">
        <v>2</v>
      </c>
      <c r="G43" s="11" t="s">
        <v>2</v>
      </c>
      <c r="H43" s="12">
        <f>IF(OR(E43="",F43=""),"",ABS(E43-F43))</f>
      </c>
      <c r="I43" s="12">
        <f>IF(OR(E43="",G43=""),"",ABS(G43-E43))</f>
      </c>
      <c r="J43" s="12">
        <f>IF(OR(H43="",I43="",H43=0),"",I43/H43)</f>
      </c>
      <c r="K43" s="8" t="s">
        <v>2</v>
      </c>
      <c r="L43" s="11" t="s">
        <v>2</v>
      </c>
      <c r="M43" s="13">
        <f>IF(OR(L43="",H43="",K43=""),"",L43*H43*5*K43)</f>
      </c>
      <c r="N43" s="8" t="s">
        <v>2</v>
      </c>
      <c r="O43" s="7" t="s">
        <v>2</v>
      </c>
      <c r="P43" s="7" t="s">
        <v>2</v>
      </c>
      <c r="Q43" s="7" t="s">
        <v>2</v>
      </c>
    </row>
    <row r="44" ht="22" customHeight="1">
      <c r="A44" s="7" t="s">
        <v>2</v>
      </c>
      <c r="B44" s="7" t="s">
        <v>2</v>
      </c>
      <c r="C44" s="7" t="s">
        <v>2</v>
      </c>
      <c r="D44" s="7" t="s">
        <v>2</v>
      </c>
      <c r="E44" s="11" t="s">
        <v>2</v>
      </c>
      <c r="F44" s="11" t="s">
        <v>2</v>
      </c>
      <c r="G44" s="11" t="s">
        <v>2</v>
      </c>
      <c r="H44" s="12">
        <f>IF(OR(E44="",F44=""),"",ABS(E44-F44))</f>
      </c>
      <c r="I44" s="12">
        <f>IF(OR(E44="",G44=""),"",ABS(G44-E44))</f>
      </c>
      <c r="J44" s="12">
        <f>IF(OR(H44="",I44="",H44=0),"",I44/H44)</f>
      </c>
      <c r="K44" s="8" t="s">
        <v>2</v>
      </c>
      <c r="L44" s="11" t="s">
        <v>2</v>
      </c>
      <c r="M44" s="13">
        <f>IF(OR(L44="",H44="",K44=""),"",L44*H44*5*K44)</f>
      </c>
      <c r="N44" s="8" t="s">
        <v>2</v>
      </c>
      <c r="O44" s="7" t="s">
        <v>2</v>
      </c>
      <c r="P44" s="7" t="s">
        <v>2</v>
      </c>
      <c r="Q44" s="7" t="s">
        <v>2</v>
      </c>
    </row>
    <row r="45" ht="22" customHeight="1">
      <c r="A45" s="7" t="s">
        <v>2</v>
      </c>
      <c r="B45" s="7" t="s">
        <v>2</v>
      </c>
      <c r="C45" s="7" t="s">
        <v>2</v>
      </c>
      <c r="D45" s="7" t="s">
        <v>2</v>
      </c>
      <c r="E45" s="11" t="s">
        <v>2</v>
      </c>
      <c r="F45" s="11" t="s">
        <v>2</v>
      </c>
      <c r="G45" s="11" t="s">
        <v>2</v>
      </c>
      <c r="H45" s="12">
        <f>IF(OR(E45="",F45=""),"",ABS(E45-F45))</f>
      </c>
      <c r="I45" s="12">
        <f>IF(OR(E45="",G45=""),"",ABS(G45-E45))</f>
      </c>
      <c r="J45" s="12">
        <f>IF(OR(H45="",I45="",H45=0),"",I45/H45)</f>
      </c>
      <c r="K45" s="8" t="s">
        <v>2</v>
      </c>
      <c r="L45" s="11" t="s">
        <v>2</v>
      </c>
      <c r="M45" s="13">
        <f>IF(OR(L45="",H45="",K45=""),"",L45*H45*5*K45)</f>
      </c>
      <c r="N45" s="8" t="s">
        <v>2</v>
      </c>
      <c r="O45" s="7" t="s">
        <v>2</v>
      </c>
      <c r="P45" s="7" t="s">
        <v>2</v>
      </c>
      <c r="Q45" s="7" t="s">
        <v>2</v>
      </c>
    </row>
    <row r="46" ht="22" customHeight="1">
      <c r="A46" s="7" t="s">
        <v>2</v>
      </c>
      <c r="B46" s="7" t="s">
        <v>2</v>
      </c>
      <c r="C46" s="7" t="s">
        <v>2</v>
      </c>
      <c r="D46" s="7" t="s">
        <v>2</v>
      </c>
      <c r="E46" s="11" t="s">
        <v>2</v>
      </c>
      <c r="F46" s="11" t="s">
        <v>2</v>
      </c>
      <c r="G46" s="11" t="s">
        <v>2</v>
      </c>
      <c r="H46" s="12">
        <f>IF(OR(E46="",F46=""),"",ABS(E46-F46))</f>
      </c>
      <c r="I46" s="12">
        <f>IF(OR(E46="",G46=""),"",ABS(G46-E46))</f>
      </c>
      <c r="J46" s="12">
        <f>IF(OR(H46="",I46="",H46=0),"",I46/H46)</f>
      </c>
      <c r="K46" s="8" t="s">
        <v>2</v>
      </c>
      <c r="L46" s="11" t="s">
        <v>2</v>
      </c>
      <c r="M46" s="13">
        <f>IF(OR(L46="",H46="",K46=""),"",L46*H46*5*K46)</f>
      </c>
      <c r="N46" s="8" t="s">
        <v>2</v>
      </c>
      <c r="O46" s="7" t="s">
        <v>2</v>
      </c>
      <c r="P46" s="7" t="s">
        <v>2</v>
      </c>
      <c r="Q46" s="7" t="s">
        <v>2</v>
      </c>
    </row>
    <row r="47" ht="22" customHeight="1">
      <c r="A47" s="7" t="s">
        <v>2</v>
      </c>
      <c r="B47" s="7" t="s">
        <v>2</v>
      </c>
      <c r="C47" s="7" t="s">
        <v>2</v>
      </c>
      <c r="D47" s="7" t="s">
        <v>2</v>
      </c>
      <c r="E47" s="11" t="s">
        <v>2</v>
      </c>
      <c r="F47" s="11" t="s">
        <v>2</v>
      </c>
      <c r="G47" s="11" t="s">
        <v>2</v>
      </c>
      <c r="H47" s="12">
        <f>IF(OR(E47="",F47=""),"",ABS(E47-F47))</f>
      </c>
      <c r="I47" s="12">
        <f>IF(OR(E47="",G47=""),"",ABS(G47-E47))</f>
      </c>
      <c r="J47" s="12">
        <f>IF(OR(H47="",I47="",H47=0),"",I47/H47)</f>
      </c>
      <c r="K47" s="8" t="s">
        <v>2</v>
      </c>
      <c r="L47" s="11" t="s">
        <v>2</v>
      </c>
      <c r="M47" s="13">
        <f>IF(OR(L47="",H47="",K47=""),"",L47*H47*5*K47)</f>
      </c>
      <c r="N47" s="8" t="s">
        <v>2</v>
      </c>
      <c r="O47" s="7" t="s">
        <v>2</v>
      </c>
      <c r="P47" s="7" t="s">
        <v>2</v>
      </c>
      <c r="Q47" s="7" t="s">
        <v>2</v>
      </c>
    </row>
    <row r="48" ht="22" customHeight="1">
      <c r="A48" s="7" t="s">
        <v>2</v>
      </c>
      <c r="B48" s="7" t="s">
        <v>2</v>
      </c>
      <c r="C48" s="7" t="s">
        <v>2</v>
      </c>
      <c r="D48" s="7" t="s">
        <v>2</v>
      </c>
      <c r="E48" s="11" t="s">
        <v>2</v>
      </c>
      <c r="F48" s="11" t="s">
        <v>2</v>
      </c>
      <c r="G48" s="11" t="s">
        <v>2</v>
      </c>
      <c r="H48" s="12">
        <f>IF(OR(E48="",F48=""),"",ABS(E48-F48))</f>
      </c>
      <c r="I48" s="12">
        <f>IF(OR(E48="",G48=""),"",ABS(G48-E48))</f>
      </c>
      <c r="J48" s="12">
        <f>IF(OR(H48="",I48="",H48=0),"",I48/H48)</f>
      </c>
      <c r="K48" s="8" t="s">
        <v>2</v>
      </c>
      <c r="L48" s="11" t="s">
        <v>2</v>
      </c>
      <c r="M48" s="13">
        <f>IF(OR(L48="",H48="",K48=""),"",L48*H48*5*K48)</f>
      </c>
      <c r="N48" s="8" t="s">
        <v>2</v>
      </c>
      <c r="O48" s="7" t="s">
        <v>2</v>
      </c>
      <c r="P48" s="7" t="s">
        <v>2</v>
      </c>
      <c r="Q48" s="7" t="s">
        <v>2</v>
      </c>
    </row>
    <row r="49" ht="22" customHeight="1">
      <c r="A49" s="7" t="s">
        <v>2</v>
      </c>
      <c r="B49" s="7" t="s">
        <v>2</v>
      </c>
      <c r="C49" s="7" t="s">
        <v>2</v>
      </c>
      <c r="D49" s="7" t="s">
        <v>2</v>
      </c>
      <c r="E49" s="11" t="s">
        <v>2</v>
      </c>
      <c r="F49" s="11" t="s">
        <v>2</v>
      </c>
      <c r="G49" s="11" t="s">
        <v>2</v>
      </c>
      <c r="H49" s="12">
        <f>IF(OR(E49="",F49=""),"",ABS(E49-F49))</f>
      </c>
      <c r="I49" s="12">
        <f>IF(OR(E49="",G49=""),"",ABS(G49-E49))</f>
      </c>
      <c r="J49" s="12">
        <f>IF(OR(H49="",I49="",H49=0),"",I49/H49)</f>
      </c>
      <c r="K49" s="8" t="s">
        <v>2</v>
      </c>
      <c r="L49" s="11" t="s">
        <v>2</v>
      </c>
      <c r="M49" s="13">
        <f>IF(OR(L49="",H49="",K49=""),"",L49*H49*5*K49)</f>
      </c>
      <c r="N49" s="8" t="s">
        <v>2</v>
      </c>
      <c r="O49" s="7" t="s">
        <v>2</v>
      </c>
      <c r="P49" s="7" t="s">
        <v>2</v>
      </c>
      <c r="Q49" s="7" t="s">
        <v>2</v>
      </c>
    </row>
    <row r="50" ht="22" customHeight="1">
      <c r="A50" s="7" t="s">
        <v>2</v>
      </c>
      <c r="B50" s="7" t="s">
        <v>2</v>
      </c>
      <c r="C50" s="7" t="s">
        <v>2</v>
      </c>
      <c r="D50" s="7" t="s">
        <v>2</v>
      </c>
      <c r="E50" s="11" t="s">
        <v>2</v>
      </c>
      <c r="F50" s="11" t="s">
        <v>2</v>
      </c>
      <c r="G50" s="11" t="s">
        <v>2</v>
      </c>
      <c r="H50" s="12">
        <f>IF(OR(E50="",F50=""),"",ABS(E50-F50))</f>
      </c>
      <c r="I50" s="12">
        <f>IF(OR(E50="",G50=""),"",ABS(G50-E50))</f>
      </c>
      <c r="J50" s="12">
        <f>IF(OR(H50="",I50="",H50=0),"",I50/H50)</f>
      </c>
      <c r="K50" s="8" t="s">
        <v>2</v>
      </c>
      <c r="L50" s="11" t="s">
        <v>2</v>
      </c>
      <c r="M50" s="13">
        <f>IF(OR(L50="",H50="",K50=""),"",L50*H50*5*K50)</f>
      </c>
      <c r="N50" s="8" t="s">
        <v>2</v>
      </c>
      <c r="O50" s="7" t="s">
        <v>2</v>
      </c>
      <c r="P50" s="7" t="s">
        <v>2</v>
      </c>
      <c r="Q50" s="7" t="s">
        <v>2</v>
      </c>
    </row>
    <row r="51" ht="22" customHeight="1">
      <c r="A51" s="7" t="s">
        <v>2</v>
      </c>
      <c r="B51" s="7" t="s">
        <v>2</v>
      </c>
      <c r="C51" s="7" t="s">
        <v>2</v>
      </c>
      <c r="D51" s="7" t="s">
        <v>2</v>
      </c>
      <c r="E51" s="11" t="s">
        <v>2</v>
      </c>
      <c r="F51" s="11" t="s">
        <v>2</v>
      </c>
      <c r="G51" s="11" t="s">
        <v>2</v>
      </c>
      <c r="H51" s="12">
        <f>IF(OR(E51="",F51=""),"",ABS(E51-F51))</f>
      </c>
      <c r="I51" s="12">
        <f>IF(OR(E51="",G51=""),"",ABS(G51-E51))</f>
      </c>
      <c r="J51" s="12">
        <f>IF(OR(H51="",I51="",H51=0),"",I51/H51)</f>
      </c>
      <c r="K51" s="8" t="s">
        <v>2</v>
      </c>
      <c r="L51" s="11" t="s">
        <v>2</v>
      </c>
      <c r="M51" s="13">
        <f>IF(OR(L51="",H51="",K51=""),"",L51*H51*5*K51)</f>
      </c>
      <c r="N51" s="8" t="s">
        <v>2</v>
      </c>
      <c r="O51" s="7" t="s">
        <v>2</v>
      </c>
      <c r="P51" s="7" t="s">
        <v>2</v>
      </c>
      <c r="Q51" s="7" t="s">
        <v>2</v>
      </c>
    </row>
    <row r="52" ht="22" customHeight="1">
      <c r="A52" s="7" t="s">
        <v>2</v>
      </c>
      <c r="B52" s="7" t="s">
        <v>2</v>
      </c>
      <c r="C52" s="7" t="s">
        <v>2</v>
      </c>
      <c r="D52" s="7" t="s">
        <v>2</v>
      </c>
      <c r="E52" s="11" t="s">
        <v>2</v>
      </c>
      <c r="F52" s="11" t="s">
        <v>2</v>
      </c>
      <c r="G52" s="11" t="s">
        <v>2</v>
      </c>
      <c r="H52" s="12">
        <f>IF(OR(E52="",F52=""),"",ABS(E52-F52))</f>
      </c>
      <c r="I52" s="12">
        <f>IF(OR(E52="",G52=""),"",ABS(G52-E52))</f>
      </c>
      <c r="J52" s="12">
        <f>IF(OR(H52="",I52="",H52=0),"",I52/H52)</f>
      </c>
      <c r="K52" s="8" t="s">
        <v>2</v>
      </c>
      <c r="L52" s="11" t="s">
        <v>2</v>
      </c>
      <c r="M52" s="13">
        <f>IF(OR(L52="",H52="",K52=""),"",L52*H52*5*K52)</f>
      </c>
      <c r="N52" s="8" t="s">
        <v>2</v>
      </c>
      <c r="O52" s="7" t="s">
        <v>2</v>
      </c>
      <c r="P52" s="7" t="s">
        <v>2</v>
      </c>
      <c r="Q52" s="7" t="s">
        <v>2</v>
      </c>
    </row>
    <row r="53" ht="22" customHeight="1">
      <c r="A53" s="7" t="s">
        <v>2</v>
      </c>
      <c r="B53" s="7" t="s">
        <v>2</v>
      </c>
      <c r="C53" s="7" t="s">
        <v>2</v>
      </c>
      <c r="D53" s="7" t="s">
        <v>2</v>
      </c>
      <c r="E53" s="11" t="s">
        <v>2</v>
      </c>
      <c r="F53" s="11" t="s">
        <v>2</v>
      </c>
      <c r="G53" s="11" t="s">
        <v>2</v>
      </c>
      <c r="H53" s="12">
        <f>IF(OR(E53="",F53=""),"",ABS(E53-F53))</f>
      </c>
      <c r="I53" s="12">
        <f>IF(OR(E53="",G53=""),"",ABS(G53-E53))</f>
      </c>
      <c r="J53" s="12">
        <f>IF(OR(H53="",I53="",H53=0),"",I53/H53)</f>
      </c>
      <c r="K53" s="8" t="s">
        <v>2</v>
      </c>
      <c r="L53" s="11" t="s">
        <v>2</v>
      </c>
      <c r="M53" s="13">
        <f>IF(OR(L53="",H53="",K53=""),"",L53*H53*5*K53)</f>
      </c>
      <c r="N53" s="8" t="s">
        <v>2</v>
      </c>
      <c r="O53" s="7" t="s">
        <v>2</v>
      </c>
      <c r="P53" s="7" t="s">
        <v>2</v>
      </c>
      <c r="Q53" s="7" t="s">
        <v>2</v>
      </c>
    </row>
    <row r="54" ht="22" customHeight="1">
      <c r="A54" s="7" t="s">
        <v>2</v>
      </c>
      <c r="B54" s="7" t="s">
        <v>2</v>
      </c>
      <c r="C54" s="7" t="s">
        <v>2</v>
      </c>
      <c r="D54" s="7" t="s">
        <v>2</v>
      </c>
      <c r="E54" s="11" t="s">
        <v>2</v>
      </c>
      <c r="F54" s="11" t="s">
        <v>2</v>
      </c>
      <c r="G54" s="11" t="s">
        <v>2</v>
      </c>
      <c r="H54" s="12">
        <f>IF(OR(E54="",F54=""),"",ABS(E54-F54))</f>
      </c>
      <c r="I54" s="12">
        <f>IF(OR(E54="",G54=""),"",ABS(G54-E54))</f>
      </c>
      <c r="J54" s="12">
        <f>IF(OR(H54="",I54="",H54=0),"",I54/H54)</f>
      </c>
      <c r="K54" s="8" t="s">
        <v>2</v>
      </c>
      <c r="L54" s="11" t="s">
        <v>2</v>
      </c>
      <c r="M54" s="13">
        <f>IF(OR(L54="",H54="",K54=""),"",L54*H54*5*K54)</f>
      </c>
      <c r="N54" s="8" t="s">
        <v>2</v>
      </c>
      <c r="O54" s="7" t="s">
        <v>2</v>
      </c>
      <c r="P54" s="7" t="s">
        <v>2</v>
      </c>
      <c r="Q54" s="7" t="s">
        <v>2</v>
      </c>
    </row>
    <row r="55" ht="22" customHeight="1">
      <c r="A55" s="7" t="s">
        <v>2</v>
      </c>
      <c r="B55" s="7" t="s">
        <v>2</v>
      </c>
      <c r="C55" s="7" t="s">
        <v>2</v>
      </c>
      <c r="D55" s="7" t="s">
        <v>2</v>
      </c>
      <c r="E55" s="11" t="s">
        <v>2</v>
      </c>
      <c r="F55" s="11" t="s">
        <v>2</v>
      </c>
      <c r="G55" s="11" t="s">
        <v>2</v>
      </c>
      <c r="H55" s="12">
        <f>IF(OR(E55="",F55=""),"",ABS(E55-F55))</f>
      </c>
      <c r="I55" s="12">
        <f>IF(OR(E55="",G55=""),"",ABS(G55-E55))</f>
      </c>
      <c r="J55" s="12">
        <f>IF(OR(H55="",I55="",H55=0),"",I55/H55)</f>
      </c>
      <c r="K55" s="8" t="s">
        <v>2</v>
      </c>
      <c r="L55" s="11" t="s">
        <v>2</v>
      </c>
      <c r="M55" s="13">
        <f>IF(OR(L55="",H55="",K55=""),"",L55*H55*5*K55)</f>
      </c>
      <c r="N55" s="8" t="s">
        <v>2</v>
      </c>
      <c r="O55" s="7" t="s">
        <v>2</v>
      </c>
      <c r="P55" s="7" t="s">
        <v>2</v>
      </c>
      <c r="Q55" s="7" t="s">
        <v>2</v>
      </c>
    </row>
    <row r="56" ht="22" customHeight="1">
      <c r="A56" s="7" t="s">
        <v>2</v>
      </c>
      <c r="B56" s="7" t="s">
        <v>2</v>
      </c>
      <c r="C56" s="7" t="s">
        <v>2</v>
      </c>
      <c r="D56" s="7" t="s">
        <v>2</v>
      </c>
      <c r="E56" s="11" t="s">
        <v>2</v>
      </c>
      <c r="F56" s="11" t="s">
        <v>2</v>
      </c>
      <c r="G56" s="11" t="s">
        <v>2</v>
      </c>
      <c r="H56" s="12">
        <f>IF(OR(E56="",F56=""),"",ABS(E56-F56))</f>
      </c>
      <c r="I56" s="12">
        <f>IF(OR(E56="",G56=""),"",ABS(G56-E56))</f>
      </c>
      <c r="J56" s="12">
        <f>IF(OR(H56="",I56="",H56=0),"",I56/H56)</f>
      </c>
      <c r="K56" s="8" t="s">
        <v>2</v>
      </c>
      <c r="L56" s="11" t="s">
        <v>2</v>
      </c>
      <c r="M56" s="13">
        <f>IF(OR(L56="",H56="",K56=""),"",L56*H56*5*K56)</f>
      </c>
      <c r="N56" s="8" t="s">
        <v>2</v>
      </c>
      <c r="O56" s="7" t="s">
        <v>2</v>
      </c>
      <c r="P56" s="7" t="s">
        <v>2</v>
      </c>
      <c r="Q56" s="7" t="s">
        <v>2</v>
      </c>
    </row>
    <row r="57" ht="22" customHeight="1">
      <c r="A57" s="7" t="s">
        <v>2</v>
      </c>
      <c r="B57" s="7" t="s">
        <v>2</v>
      </c>
      <c r="C57" s="7" t="s">
        <v>2</v>
      </c>
      <c r="D57" s="7" t="s">
        <v>2</v>
      </c>
      <c r="E57" s="11" t="s">
        <v>2</v>
      </c>
      <c r="F57" s="11" t="s">
        <v>2</v>
      </c>
      <c r="G57" s="11" t="s">
        <v>2</v>
      </c>
      <c r="H57" s="12">
        <f>IF(OR(E57="",F57=""),"",ABS(E57-F57))</f>
      </c>
      <c r="I57" s="12">
        <f>IF(OR(E57="",G57=""),"",ABS(G57-E57))</f>
      </c>
      <c r="J57" s="12">
        <f>IF(OR(H57="",I57="",H57=0),"",I57/H57)</f>
      </c>
      <c r="K57" s="8" t="s">
        <v>2</v>
      </c>
      <c r="L57" s="11" t="s">
        <v>2</v>
      </c>
      <c r="M57" s="13">
        <f>IF(OR(L57="",H57="",K57=""),"",L57*H57*5*K57)</f>
      </c>
      <c r="N57" s="8" t="s">
        <v>2</v>
      </c>
      <c r="O57" s="7" t="s">
        <v>2</v>
      </c>
      <c r="P57" s="7" t="s">
        <v>2</v>
      </c>
      <c r="Q57" s="7" t="s">
        <v>2</v>
      </c>
    </row>
    <row r="58" ht="22" customHeight="1">
      <c r="A58" s="7" t="s">
        <v>2</v>
      </c>
      <c r="B58" s="7" t="s">
        <v>2</v>
      </c>
      <c r="C58" s="7" t="s">
        <v>2</v>
      </c>
      <c r="D58" s="7" t="s">
        <v>2</v>
      </c>
      <c r="E58" s="11" t="s">
        <v>2</v>
      </c>
      <c r="F58" s="11" t="s">
        <v>2</v>
      </c>
      <c r="G58" s="11" t="s">
        <v>2</v>
      </c>
      <c r="H58" s="12">
        <f>IF(OR(E58="",F58=""),"",ABS(E58-F58))</f>
      </c>
      <c r="I58" s="12">
        <f>IF(OR(E58="",G58=""),"",ABS(G58-E58))</f>
      </c>
      <c r="J58" s="12">
        <f>IF(OR(H58="",I58="",H58=0),"",I58/H58)</f>
      </c>
      <c r="K58" s="8" t="s">
        <v>2</v>
      </c>
      <c r="L58" s="11" t="s">
        <v>2</v>
      </c>
      <c r="M58" s="13">
        <f>IF(OR(L58="",H58="",K58=""),"",L58*H58*5*K58)</f>
      </c>
      <c r="N58" s="8" t="s">
        <v>2</v>
      </c>
      <c r="O58" s="7" t="s">
        <v>2</v>
      </c>
      <c r="P58" s="7" t="s">
        <v>2</v>
      </c>
      <c r="Q58" s="7" t="s">
        <v>2</v>
      </c>
    </row>
    <row r="59" ht="22" customHeight="1">
      <c r="A59" s="7" t="s">
        <v>2</v>
      </c>
      <c r="B59" s="7" t="s">
        <v>2</v>
      </c>
      <c r="C59" s="7" t="s">
        <v>2</v>
      </c>
      <c r="D59" s="7" t="s">
        <v>2</v>
      </c>
      <c r="E59" s="11" t="s">
        <v>2</v>
      </c>
      <c r="F59" s="11" t="s">
        <v>2</v>
      </c>
      <c r="G59" s="11" t="s">
        <v>2</v>
      </c>
      <c r="H59" s="12">
        <f>IF(OR(E59="",F59=""),"",ABS(E59-F59))</f>
      </c>
      <c r="I59" s="12">
        <f>IF(OR(E59="",G59=""),"",ABS(G59-E59))</f>
      </c>
      <c r="J59" s="12">
        <f>IF(OR(H59="",I59="",H59=0),"",I59/H59)</f>
      </c>
      <c r="K59" s="8" t="s">
        <v>2</v>
      </c>
      <c r="L59" s="11" t="s">
        <v>2</v>
      </c>
      <c r="M59" s="13">
        <f>IF(OR(L59="",H59="",K59=""),"",L59*H59*5*K59)</f>
      </c>
      <c r="N59" s="8" t="s">
        <v>2</v>
      </c>
      <c r="O59" s="7" t="s">
        <v>2</v>
      </c>
      <c r="P59" s="7" t="s">
        <v>2</v>
      </c>
      <c r="Q59" s="7" t="s">
        <v>2</v>
      </c>
    </row>
    <row r="60" ht="22" customHeight="1">
      <c r="A60" s="7" t="s">
        <v>2</v>
      </c>
      <c r="B60" s="7" t="s">
        <v>2</v>
      </c>
      <c r="C60" s="7" t="s">
        <v>2</v>
      </c>
      <c r="D60" s="7" t="s">
        <v>2</v>
      </c>
      <c r="E60" s="11" t="s">
        <v>2</v>
      </c>
      <c r="F60" s="11" t="s">
        <v>2</v>
      </c>
      <c r="G60" s="11" t="s">
        <v>2</v>
      </c>
      <c r="H60" s="12">
        <f>IF(OR(E60="",F60=""),"",ABS(E60-F60))</f>
      </c>
      <c r="I60" s="12">
        <f>IF(OR(E60="",G60=""),"",ABS(G60-E60))</f>
      </c>
      <c r="J60" s="12">
        <f>IF(OR(H60="",I60="",H60=0),"",I60/H60)</f>
      </c>
      <c r="K60" s="8" t="s">
        <v>2</v>
      </c>
      <c r="L60" s="11" t="s">
        <v>2</v>
      </c>
      <c r="M60" s="13">
        <f>IF(OR(L60="",H60="",K60=""),"",L60*H60*5*K60)</f>
      </c>
      <c r="N60" s="8" t="s">
        <v>2</v>
      </c>
      <c r="O60" s="7" t="s">
        <v>2</v>
      </c>
      <c r="P60" s="7" t="s">
        <v>2</v>
      </c>
      <c r="Q60" s="7" t="s">
        <v>2</v>
      </c>
    </row>
    <row r="61" ht="22" customHeight="1">
      <c r="A61" s="7" t="s">
        <v>2</v>
      </c>
      <c r="B61" s="7" t="s">
        <v>2</v>
      </c>
      <c r="C61" s="7" t="s">
        <v>2</v>
      </c>
      <c r="D61" s="7" t="s">
        <v>2</v>
      </c>
      <c r="E61" s="11" t="s">
        <v>2</v>
      </c>
      <c r="F61" s="11" t="s">
        <v>2</v>
      </c>
      <c r="G61" s="11" t="s">
        <v>2</v>
      </c>
      <c r="H61" s="12">
        <f>IF(OR(E61="",F61=""),"",ABS(E61-F61))</f>
      </c>
      <c r="I61" s="12">
        <f>IF(OR(E61="",G61=""),"",ABS(G61-E61))</f>
      </c>
      <c r="J61" s="12">
        <f>IF(OR(H61="",I61="",H61=0),"",I61/H61)</f>
      </c>
      <c r="K61" s="8" t="s">
        <v>2</v>
      </c>
      <c r="L61" s="11" t="s">
        <v>2</v>
      </c>
      <c r="M61" s="13">
        <f>IF(OR(L61="",H61="",K61=""),"",L61*H61*5*K61)</f>
      </c>
      <c r="N61" s="8" t="s">
        <v>2</v>
      </c>
      <c r="O61" s="7" t="s">
        <v>2</v>
      </c>
      <c r="P61" s="7" t="s">
        <v>2</v>
      </c>
      <c r="Q61" s="7" t="s">
        <v>2</v>
      </c>
    </row>
    <row r="62" ht="22" customHeight="1">
      <c r="A62" s="7" t="s">
        <v>2</v>
      </c>
      <c r="B62" s="7" t="s">
        <v>2</v>
      </c>
      <c r="C62" s="7" t="s">
        <v>2</v>
      </c>
      <c r="D62" s="7" t="s">
        <v>2</v>
      </c>
      <c r="E62" s="11" t="s">
        <v>2</v>
      </c>
      <c r="F62" s="11" t="s">
        <v>2</v>
      </c>
      <c r="G62" s="11" t="s">
        <v>2</v>
      </c>
      <c r="H62" s="12">
        <f>IF(OR(E62="",F62=""),"",ABS(E62-F62))</f>
      </c>
      <c r="I62" s="12">
        <f>IF(OR(E62="",G62=""),"",ABS(G62-E62))</f>
      </c>
      <c r="J62" s="12">
        <f>IF(OR(H62="",I62="",H62=0),"",I62/H62)</f>
      </c>
      <c r="K62" s="8" t="s">
        <v>2</v>
      </c>
      <c r="L62" s="11" t="s">
        <v>2</v>
      </c>
      <c r="M62" s="13">
        <f>IF(OR(L62="",H62="",K62=""),"",L62*H62*5*K62)</f>
      </c>
      <c r="N62" s="8" t="s">
        <v>2</v>
      </c>
      <c r="O62" s="7" t="s">
        <v>2</v>
      </c>
      <c r="P62" s="7" t="s">
        <v>2</v>
      </c>
      <c r="Q62" s="7" t="s">
        <v>2</v>
      </c>
    </row>
    <row r="63" ht="22" customHeight="1">
      <c r="A63" s="7" t="s">
        <v>2</v>
      </c>
      <c r="B63" s="7" t="s">
        <v>2</v>
      </c>
      <c r="C63" s="7" t="s">
        <v>2</v>
      </c>
      <c r="D63" s="7" t="s">
        <v>2</v>
      </c>
      <c r="E63" s="11" t="s">
        <v>2</v>
      </c>
      <c r="F63" s="11" t="s">
        <v>2</v>
      </c>
      <c r="G63" s="11" t="s">
        <v>2</v>
      </c>
      <c r="H63" s="12">
        <f>IF(OR(E63="",F63=""),"",ABS(E63-F63))</f>
      </c>
      <c r="I63" s="12">
        <f>IF(OR(E63="",G63=""),"",ABS(G63-E63))</f>
      </c>
      <c r="J63" s="12">
        <f>IF(OR(H63="",I63="",H63=0),"",I63/H63)</f>
      </c>
      <c r="K63" s="8" t="s">
        <v>2</v>
      </c>
      <c r="L63" s="11" t="s">
        <v>2</v>
      </c>
      <c r="M63" s="13">
        <f>IF(OR(L63="",H63="",K63=""),"",L63*H63*5*K63)</f>
      </c>
      <c r="N63" s="8" t="s">
        <v>2</v>
      </c>
      <c r="O63" s="7" t="s">
        <v>2</v>
      </c>
      <c r="P63" s="7" t="s">
        <v>2</v>
      </c>
      <c r="Q63" s="7" t="s">
        <v>2</v>
      </c>
    </row>
    <row r="64"/>
    <row r="65" ht="22" customHeight="1">
      <c r="A65" s="2" t="s">
        <v>113</v>
      </c>
    </row>
    <row r="66" ht="22" customHeight="1">
      <c r="A66" s="6" t="s">
        <v>114</v>
      </c>
      <c r="E66" s="6" t="s">
        <v>115</v>
      </c>
      <c r="I66" s="6" t="s">
        <v>116</v>
      </c>
      <c r="M66" s="6" t="s">
        <v>117</v>
      </c>
    </row>
    <row r="67" ht="22" customHeight="1">
      <c r="A67" s="9">
        <f>COUNTA(B4:B63)</f>
      </c>
      <c r="E67" s="14">
        <f>IF(COUNTA(L4:L63)=0,"",COUNTIF(L4:L63,"&gt;0")/COUNTA(L4:L63)*100)</f>
      </c>
      <c r="I67" s="12">
        <f>IF(COUNTA(L4:L63)=0,"",SUM(L4:L63))</f>
      </c>
      <c r="M67" s="13">
        <f>IF(COUNTA(M4:M63)=0,"",SUM(M4:M63))</f>
      </c>
    </row>
    <row r="68" ht="22" customHeight="1">
      <c r="A68" s="6" t="s">
        <v>118</v>
      </c>
      <c r="E68" s="6" t="s">
        <v>119</v>
      </c>
      <c r="I68" s="6" t="s">
        <v>120</v>
      </c>
      <c r="M68" s="6" t="s">
        <v>121</v>
      </c>
    </row>
    <row r="69" ht="22" customHeight="1">
      <c r="A69" s="12">
        <f>IF(COUNTA(J4:J63)=0,"",AVERAGE(J4:J63))</f>
      </c>
      <c r="E69" s="12">
        <f>IF(COUNTA(N4:N63)=0,"",AVERAGE(N4:N63))</f>
      </c>
      <c r="I69" s="13">
        <f>IF(COUNTA(M4:M63)=0,"",MAX(M4:M63))</f>
      </c>
      <c r="M69" s="12">
        <f>IF(COUNTA(M4:M63)=0,"",MIN(M4:M63))</f>
      </c>
    </row>
  </sheetData>
  <mergeCells count="18">
    <mergeCell ref="A1:Q1"/>
    <mergeCell ref="A65:Q65"/>
    <mergeCell ref="A66:B66"/>
    <mergeCell ref="A67:B67"/>
    <mergeCell ref="E66:F66"/>
    <mergeCell ref="E67:F67"/>
    <mergeCell ref="I66:J66"/>
    <mergeCell ref="I67:J67"/>
    <mergeCell ref="M66:N66"/>
    <mergeCell ref="M67:N67"/>
    <mergeCell ref="A68:B68"/>
    <mergeCell ref="A69:B69"/>
    <mergeCell ref="E68:F68"/>
    <mergeCell ref="E69:F69"/>
    <mergeCell ref="I68:J68"/>
    <mergeCell ref="I69:J69"/>
    <mergeCell ref="M68:N68"/>
    <mergeCell ref="M69:N69"/>
  </mergeCells>
</worksheet>
</file>