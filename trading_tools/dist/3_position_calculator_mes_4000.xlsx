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仓位计算器" sheetId="1" r:id="rId1"/>
    <sheet name="场景速查表" sheetId="2" r:id="rId2"/>
  </sheets>
</workbook>
</file>

<file path=xl/sharedStrings.xml><?xml version="1.0" encoding="utf-8"?>
<sst xmlns="http://schemas.openxmlformats.org/spreadsheetml/2006/main" count="54" uniqueCount="54">
  <si>
    <t xml:space="preserve">MES 仓位计算器（$4000 账户版）</t>
  </si>
  <si>
    <t xml:space="preserve">输入区（黄色单元格，修改这些值）</t>
  </si>
  <si>
    <t xml:space="preserve">账户净值 ($)</t>
  </si>
  <si>
    <t xml:space="preserve">实时更新，回撤后要调低</t>
  </si>
  <si>
    <t xml:space="preserve">单笔风险百分比 (%)</t>
  </si>
  <si>
    <t xml:space="preserve">保守 1.5%，标准 2%，激进 2.5%（$4000 不建议超 2%）</t>
  </si>
  <si>
    <t xml:space="preserve">止损点数 (ES 点)</t>
  </si>
  <si>
    <t xml:space="preserve">从图表结构量取，H2 典型 5–12 点，Failed Breakout 典型 3–6 点</t>
  </si>
  <si>
    <t xml:space="preserve">MES 合约乘数 ($/点)</t>
  </si>
  <si>
    <t xml:space="preserve">MES 固定 $5/点，勿改</t>
  </si>
  <si>
    <t xml:space="preserve">单笔佣金+滑点 ($)</t>
  </si>
  <si>
    <t xml:space="preserve">往返估算：IBKR/AMP/Tradovate 约 $1–$4</t>
  </si>
  <si>
    <t xml:space="preserve">计算结果区（绿色 = 安全可执行，红色 = 超风险警告）</t>
  </si>
  <si>
    <t xml:space="preserve">每笔最大允许亏损 ($)</t>
  </si>
  <si>
    <t xml:space="preserve">这是你今晚最不能突破的数字</t>
  </si>
  <si>
    <t xml:space="preserve">理论合约数</t>
  </si>
  <si>
    <t xml:space="preserve">数学上的精确值（通常不是整数）</t>
  </si>
  <si>
    <t xml:space="preserve">建议下单合约数</t>
  </si>
  <si>
    <t xml:space="preserve">取下整；若为 0，说明止损太宽或资金不足（今晚不交易这个 setup）</t>
  </si>
  <si>
    <t xml:space="preserve">每张合约实际风险 ($)</t>
  </si>
  <si>
    <t xml:space="preserve">= 止损点数 × $5</t>
  </si>
  <si>
    <t xml:space="preserve">总实际风险 ($)</t>
  </si>
  <si>
    <t xml:space="preserve">建议合约数 × 每张风险（≤ 最大允许亏损）</t>
  </si>
  <si>
    <t xml:space="preserve">实际风险占账户 (%)</t>
  </si>
  <si>
    <t xml:space="preserve">应 ≤ 输入的风险百分比</t>
  </si>
  <si>
    <t xml:space="preserve">加上成本后真实亏损 ($)</t>
  </si>
  <si>
    <t xml:space="preserve">包括佣金/滑点</t>
  </si>
  <si>
    <t xml:space="preserve">1R 盈利预估 (目标=1:1) ($)</t>
  </si>
  <si>
    <t xml:space="preserve">扣除成本后的净 1R 收益（实战中 R:R 多为 1.5–2.0）</t>
  </si>
  <si>
    <t xml:space="preserve">1.5R 盈利预估 ($)</t>
  </si>
  <si>
    <t xml:space="preserve">日内盈利目标达到即停手</t>
  </si>
  <si>
    <t xml:space="preserve">2R 盈利预估 ($)</t>
  </si>
  <si>
    <t xml:space="preserve">trailing 让利润奔跑的常见落点</t>
  </si>
  <si>
    <t xml:space="preserve">⚠️ 自动检查（出现红色警告需立即重评估）</t>
  </si>
  <si>
    <t xml:space="preserve">止损点数是否 &lt;4 点？</t>
  </si>
  <si>
    <t xml:space="preserve">止损点数是否 &gt;15 点？</t>
  </si>
  <si>
    <t xml:space="preserve">建议合约数是否 = 0？</t>
  </si>
  <si>
    <t xml:space="preserve">实际风险 % 是否超过设定？</t>
  </si>
  <si>
    <t xml:space="preserve">单笔风险 % 是否 &gt;3%？</t>
  </si>
  <si>
    <t xml:space="preserve">账户净值是否 &lt;$2000？</t>
  </si>
  <si>
    <t xml:space="preserve">日内熔断跟踪（当天进行中填写）</t>
  </si>
  <si>
    <t xml:space="preserve">本日已交易笔数</t>
  </si>
  <si>
    <t xml:space="preserve">≥2 后慎开新仓</t>
  </si>
  <si>
    <t xml:space="preserve">本日已亏损累计 ($)</t>
  </si>
  <si>
    <t xml:space="preserve">达到 $160（账户 4%）立即停手</t>
  </si>
  <si>
    <t xml:space="preserve">本日已盈利累计 ($)</t>
  </si>
  <si>
    <t xml:space="preserve">达到 1.5R（约 $60–$120）只平不开</t>
  </si>
  <si>
    <t xml:space="preserve">本日连续亏损次数</t>
  </si>
  <si>
    <t xml:space="preserve">=3 → 强制冷却 1 小时</t>
  </si>
  <si>
    <t xml:space="preserve">熔断状态（自动）</t>
  </si>
  <si>
    <t xml:space="preserve">场景速查：不同账户 / 止损下的建议合约数（风险 2% 固定）</t>
  </si>
  <si>
    <t xml:space="preserve">账户 ($)</t>
  </si>
  <si>
    <t xml:space="preserve">止损点数（ES/MES 点）</t>
  </si>
  <si>
    <t xml:space="preserve">图例：红色 = 资金不足以开仓（止损太宽 or 账户太小）；绿色 = 1–4 张正常；蓝色 = 5+ 张（高级别仓位，需更成熟后再用）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</si>
</sst>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"/>
    <numFmt numFmtId="166" formatCode="0"/>
  </numFmts>
  <fonts count="8">
    <font>
      <sz val="11"/>
      <color rgb="FF000000"/>
      <name val="Calibri"/>
    </font>
    <font>
      <b/>
      <sz val="16"/>
      <color rgb="FFFFFFFF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0"/>
      <color rgb="FF595959"/>
      <name val="Calibri"/>
    </font>
    <font>
      <b/>
      <sz val="14"/>
      <color rgb="FF000000"/>
      <name val="Calibri"/>
    </font>
    <font>
      <b/>
      <sz val="13"/>
      <color rgb="FF000000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4C7E7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164" fontId="0" fillId="4" borderId="1" xfId="0" applyFill="1" applyBorder="1" applyNumberFormat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165" fontId="0" fillId="4" borderId="1" xfId="0" applyFill="1" applyBorder="1" applyNumberFormat="1" applyAlignment="1">
      <alignment horizontal="center" vertical="center"/>
    </xf>
    <xf numFmtId="164" fontId="3" fillId="5" borderId="1" xfId="0" applyFont="1" applyFill="1" applyBorder="1" applyNumberFormat="1" applyAlignment="1">
      <alignment horizontal="center" vertical="center"/>
    </xf>
    <xf numFmtId="165" fontId="3" fillId="5" borderId="1" xfId="0" applyFont="1" applyFill="1" applyBorder="1" applyNumberFormat="1" applyAlignment="1">
      <alignment horizontal="center" vertical="center"/>
    </xf>
    <xf numFmtId="166" fontId="5" fillId="6" borderId="1" xfId="0" applyFont="1" applyFill="1" applyBorder="1" applyNumberForma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166" fontId="0" fillId="4" borderId="1" xfId="0" applyFill="1" applyBorder="1" applyNumberForma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30" customWidth="1"/>
    <col min="3" max="3" width="18" customWidth="1"/>
    <col min="4" max="4" width="4" customWidth="1"/>
    <col min="5" max="5" width="45" customWidth="1"/>
  </cols>
  <sheetData>
    <row r="1" ht="30" customHeight="1">
      <c r="A1" s="1" t="s">
        <v>0</v>
      </c>
    </row>
    <row r="2"/>
    <row r="3" ht="24" customHeight="1">
      <c r="A3" s="2" t="s">
        <v>1</v>
      </c>
    </row>
    <row r="4" ht="22" customHeight="1">
      <c r="B4" s="3" t="s">
        <v>2</v>
      </c>
      <c r="C4" s="4">
        <v>4000.0</v>
      </c>
      <c r="E4" s="5" t="s">
        <v>3</v>
      </c>
    </row>
    <row r="5" ht="22" customHeight="1">
      <c r="B5" s="3" t="s">
        <v>4</v>
      </c>
      <c r="C5" s="6">
        <v>2.0</v>
      </c>
      <c r="E5" s="5" t="s">
        <v>5</v>
      </c>
    </row>
    <row r="6" ht="22" customHeight="1">
      <c r="B6" s="3" t="s">
        <v>6</v>
      </c>
      <c r="C6" s="6">
        <v>8.0</v>
      </c>
      <c r="E6" s="5" t="s">
        <v>7</v>
      </c>
    </row>
    <row r="7" ht="22" customHeight="1">
      <c r="B7" s="3" t="s">
        <v>8</v>
      </c>
      <c r="C7" s="6">
        <v>5.0</v>
      </c>
      <c r="E7" s="5" t="s">
        <v>9</v>
      </c>
    </row>
    <row r="8" ht="22" customHeight="1">
      <c r="B8" s="3" t="s">
        <v>10</v>
      </c>
      <c r="C8" s="6">
        <v>2.5</v>
      </c>
      <c r="E8" s="5" t="s">
        <v>11</v>
      </c>
    </row>
    <row r="9"/>
    <row r="10" ht="24" customHeight="1">
      <c r="A10" s="2" t="s">
        <v>12</v>
      </c>
    </row>
    <row r="11" ht="22" customHeight="1">
      <c r="B11" s="3" t="s">
        <v>13</v>
      </c>
      <c r="C11" s="7">
        <f>C4*C5/100</f>
      </c>
      <c r="E11" s="5" t="s">
        <v>14</v>
      </c>
    </row>
    <row r="12" ht="22" customHeight="1">
      <c r="B12" s="3" t="s">
        <v>15</v>
      </c>
      <c r="C12" s="8">
        <f>C4*C5/100/(C6*C7)</f>
      </c>
      <c r="E12" s="5" t="s">
        <v>16</v>
      </c>
    </row>
    <row r="13" ht="28" customHeight="1">
      <c r="B13" s="3" t="s">
        <v>17</v>
      </c>
      <c r="C13" s="9">
        <f>IF(C4*C5/100/(C6*C7)&lt;1,0,FLOOR(C4*C5/100/(C6*C7),1))</f>
      </c>
      <c r="E13" s="5" t="s">
        <v>18</v>
      </c>
    </row>
    <row r="14" ht="22" customHeight="1">
      <c r="B14" s="3" t="s">
        <v>19</v>
      </c>
      <c r="C14" s="7">
        <f>C6*C7</f>
      </c>
      <c r="E14" s="5" t="s">
        <v>20</v>
      </c>
    </row>
    <row r="15" ht="22" customHeight="1">
      <c r="B15" s="3" t="s">
        <v>21</v>
      </c>
      <c r="C15" s="7">
        <f>IF(C4*C5/100/(C6*C7)&lt;1,0,FLOOR(C4*C5/100/(C6*C7),1))*C6*C7</f>
      </c>
      <c r="E15" s="5" t="s">
        <v>22</v>
      </c>
    </row>
    <row r="16" ht="22" customHeight="1">
      <c r="B16" s="3" t="s">
        <v>23</v>
      </c>
      <c r="C16" s="8">
        <f>IF(C4*C5/100/(C6*C7)&lt;1,0,FLOOR(C4*C5/100/(C6*C7),1))*C6*C7/C4*100</f>
      </c>
      <c r="E16" s="5" t="s">
        <v>24</v>
      </c>
    </row>
    <row r="17" ht="22" customHeight="1">
      <c r="B17" s="3" t="s">
        <v>25</v>
      </c>
      <c r="C17" s="7">
        <f>IF(C4*C5/100/(C6*C7)&lt;1,0,FLOOR(C4*C5/100/(C6*C7),1))*C6*C7 + IF(C4*C5/100/(C6*C7)&lt;1,0,FLOOR(C4*C5/100/(C6*C7),1))*C8</f>
      </c>
      <c r="E17" s="5" t="s">
        <v>26</v>
      </c>
    </row>
    <row r="18" ht="22" customHeight="1">
      <c r="B18" s="3" t="s">
        <v>27</v>
      </c>
      <c r="C18" s="7">
        <f>IF(C4*C5/100/(C6*C7)&lt;1,0,FLOOR(C4*C5/100/(C6*C7),1))*C6*C7 - IF(C4*C5/100/(C6*C7)&lt;1,0,FLOOR(C4*C5/100/(C6*C7),1))*C8</f>
      </c>
      <c r="E18" s="5" t="s">
        <v>28</v>
      </c>
    </row>
    <row r="19" ht="22" customHeight="1">
      <c r="B19" s="3" t="s">
        <v>29</v>
      </c>
      <c r="C19" s="7">
        <f>1.5*IF(C4*C5/100/(C6*C7)&lt;1,0,FLOOR(C4*C5/100/(C6*C7),1))*C6*C7 - IF(C4*C5/100/(C6*C7)&lt;1,0,FLOOR(C4*C5/100/(C6*C7),1))*C8</f>
      </c>
      <c r="E19" s="5" t="s">
        <v>30</v>
      </c>
    </row>
    <row r="20" ht="22" customHeight="1">
      <c r="B20" s="3" t="s">
        <v>31</v>
      </c>
      <c r="C20" s="7">
        <f>2*IF(C4*C5/100/(C6*C7)&lt;1,0,FLOOR(C4*C5/100/(C6*C7),1))*C6*C7 - IF(C4*C5/100/(C6*C7)&lt;1,0,FLOOR(C4*C5/100/(C6*C7),1))*C8</f>
      </c>
      <c r="E20" s="5" t="s">
        <v>32</v>
      </c>
    </row>
    <row r="21"/>
    <row r="22" ht="24" customHeight="1">
      <c r="A22" s="2" t="s">
        <v>33</v>
      </c>
    </row>
    <row r="23" ht="22" customHeight="1">
      <c r="B23" s="10" t="s">
        <v>34</v>
      </c>
      <c r="C23" s="11">
        <f>IF(C6&lt;4,"⚠️ 止损过紧，易被噪音打掉","✓ OK")</f>
      </c>
    </row>
    <row r="24" ht="22" customHeight="1">
      <c r="B24" s="10" t="s">
        <v>35</v>
      </c>
      <c r="C24" s="11">
        <f>IF(C6&gt;15,"⚠️ 止损过宽，setup 选点有问题","✓ OK")</f>
      </c>
    </row>
    <row r="25" ht="22" customHeight="1">
      <c r="B25" s="10" t="s">
        <v>36</v>
      </c>
      <c r="C25" s="11">
        <f>IF(D13=0,"⚠️ 资金不足以承载此止损，放弃此笔","✓ OK")</f>
      </c>
    </row>
    <row r="26" ht="22" customHeight="1">
      <c r="B26" s="10" t="s">
        <v>37</v>
      </c>
      <c r="C26" s="11">
        <f>IF(D16&gt;C5,"⚠️ 风险超标（罕见）","✓ OK")</f>
      </c>
    </row>
    <row r="27" ht="22" customHeight="1">
      <c r="B27" s="10" t="s">
        <v>38</v>
      </c>
      <c r="C27" s="11">
        <f>IF(C5&gt;3,"⚠️ 风险百分比过激进","✓ OK")</f>
      </c>
    </row>
    <row r="28" ht="22" customHeight="1">
      <c r="B28" s="10" t="s">
        <v>39</v>
      </c>
      <c r="C28" s="11">
        <f>IF(C4&lt;2000,"⚠️ 账户过小，考虑暂停实盘","✓ OK")</f>
      </c>
    </row>
    <row r="29"/>
    <row r="30" ht="24" customHeight="1">
      <c r="A30" s="2" t="s">
        <v>40</v>
      </c>
    </row>
    <row r="31" ht="22" customHeight="1">
      <c r="B31" s="3" t="s">
        <v>41</v>
      </c>
      <c r="C31" s="12">
        <v>0</v>
      </c>
      <c r="E31" s="5" t="s">
        <v>42</v>
      </c>
    </row>
    <row r="32" ht="22" customHeight="1">
      <c r="B32" s="3" t="s">
        <v>43</v>
      </c>
      <c r="C32" s="4">
        <v>0</v>
      </c>
      <c r="E32" s="5" t="s">
        <v>44</v>
      </c>
    </row>
    <row r="33" ht="22" customHeight="1">
      <c r="B33" s="3" t="s">
        <v>45</v>
      </c>
      <c r="C33" s="4">
        <v>0</v>
      </c>
      <c r="E33" s="5" t="s">
        <v>46</v>
      </c>
    </row>
    <row r="34" ht="22" customHeight="1">
      <c r="B34" s="3" t="s">
        <v>47</v>
      </c>
      <c r="C34" s="12">
        <v>0</v>
      </c>
      <c r="E34" s="5" t="s">
        <v>48</v>
      </c>
    </row>
    <row r="35" ht="32" customHeight="1">
      <c r="B35" s="3" t="s">
        <v>49</v>
      </c>
      <c r="C35" s="13">
        <f>IF(C32&lt;=-C4*4/100,"🛑 已触日亏损熔断 — 停止交易",IF(C33&gt;=C4*3/100,"🟢 达成日盈利目标 — 只平不开",IF(C34&gt;=3,"🟡 连亏 3 — 冷却 1 小时","✅ 正常交易")))</f>
      </c>
    </row>
  </sheetData>
  <mergeCells count="5">
    <mergeCell ref="A1:E1"/>
    <mergeCell ref="A3:E3"/>
    <mergeCell ref="A10:E10"/>
    <mergeCell ref="A22:E22"/>
    <mergeCell ref="A30:E30"/>
  </mergeCells>
</worksheet>
</file>

<file path=xl/worksheets/sheet2.xml><?xml version="1.0" encoding="utf-8"?>
<worksheet xmlns="http://schemas.openxmlformats.org/spreadsheetml/2006/main">
  <cols>
    <col min="1" max="1" width="14" customWidth="1"/>
    <col min="2" max="2" width="14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28" customHeight="1">
      <c r="A1" s="1" t="s">
        <v>50</v>
      </c>
    </row>
    <row r="2" ht="22" customHeight="1">
      <c r="A2" s="14" t="s">
        <v>51</v>
      </c>
      <c r="B2" s="14" t="s">
        <v>52</v>
      </c>
    </row>
    <row r="3" ht="22" customHeight="1">
      <c r="B3" s="15">
        <v>3</v>
      </c>
      <c r="C3" s="15">
        <v>4</v>
      </c>
      <c r="D3" s="15">
        <v>5</v>
      </c>
      <c r="E3" s="15">
        <v>6</v>
      </c>
      <c r="F3" s="15">
        <v>7</v>
      </c>
      <c r="G3" s="15">
        <v>8</v>
      </c>
      <c r="H3" s="15">
        <v>10</v>
      </c>
      <c r="I3" s="15">
        <v>12</v>
      </c>
      <c r="J3" s="15">
        <v>15</v>
      </c>
      <c r="K3" s="15">
        <v>18</v>
      </c>
      <c r="L3" s="15">
        <v>20</v>
      </c>
    </row>
    <row r="4" ht="22" customHeight="1">
      <c r="A4" s="16">
        <v>2000</v>
      </c>
      <c r="B4" s="17">
        <v>2</v>
      </c>
      <c r="C4" s="17">
        <v>2</v>
      </c>
      <c r="D4" s="17">
        <v>1</v>
      </c>
      <c r="E4" s="17">
        <v>1</v>
      </c>
      <c r="F4" s="17">
        <v>1</v>
      </c>
      <c r="G4" s="17">
        <v>1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</row>
    <row r="5" ht="22" customHeight="1">
      <c r="A5" s="16">
        <v>3000</v>
      </c>
      <c r="B5" s="17">
        <v>4</v>
      </c>
      <c r="C5" s="17">
        <v>3</v>
      </c>
      <c r="D5" s="17">
        <v>2</v>
      </c>
      <c r="E5" s="17">
        <v>2</v>
      </c>
      <c r="F5" s="17">
        <v>1</v>
      </c>
      <c r="G5" s="17">
        <v>1</v>
      </c>
      <c r="H5" s="17">
        <v>1</v>
      </c>
      <c r="I5" s="17">
        <v>1</v>
      </c>
      <c r="J5" s="18">
        <v>0</v>
      </c>
      <c r="K5" s="18">
        <v>0</v>
      </c>
      <c r="L5" s="18">
        <v>0</v>
      </c>
    </row>
    <row r="6" ht="22" customHeight="1">
      <c r="A6" s="16">
        <v>4000</v>
      </c>
      <c r="B6" s="19">
        <v>5</v>
      </c>
      <c r="C6" s="17">
        <v>4</v>
      </c>
      <c r="D6" s="17">
        <v>3</v>
      </c>
      <c r="E6" s="17">
        <v>2</v>
      </c>
      <c r="F6" s="17">
        <v>2</v>
      </c>
      <c r="G6" s="17">
        <v>2</v>
      </c>
      <c r="H6" s="17">
        <v>1</v>
      </c>
      <c r="I6" s="17">
        <v>1</v>
      </c>
      <c r="J6" s="17">
        <v>1</v>
      </c>
      <c r="K6" s="18">
        <v>0</v>
      </c>
      <c r="L6" s="18">
        <v>0</v>
      </c>
    </row>
    <row r="7" ht="22" customHeight="1">
      <c r="A7" s="16">
        <v>5000</v>
      </c>
      <c r="B7" s="19">
        <v>6</v>
      </c>
      <c r="C7" s="19">
        <v>5</v>
      </c>
      <c r="D7" s="17">
        <v>4</v>
      </c>
      <c r="E7" s="17">
        <v>3</v>
      </c>
      <c r="F7" s="17">
        <v>2</v>
      </c>
      <c r="G7" s="17">
        <v>2</v>
      </c>
      <c r="H7" s="17">
        <v>2</v>
      </c>
      <c r="I7" s="17">
        <v>1</v>
      </c>
      <c r="J7" s="17">
        <v>1</v>
      </c>
      <c r="K7" s="17">
        <v>1</v>
      </c>
      <c r="L7" s="17">
        <v>1</v>
      </c>
    </row>
    <row r="8" ht="22" customHeight="1">
      <c r="A8" s="16">
        <v>7500</v>
      </c>
      <c r="B8" s="19">
        <v>10</v>
      </c>
      <c r="C8" s="19">
        <v>7</v>
      </c>
      <c r="D8" s="19">
        <v>6</v>
      </c>
      <c r="E8" s="19">
        <v>5</v>
      </c>
      <c r="F8" s="17">
        <v>4</v>
      </c>
      <c r="G8" s="17">
        <v>3</v>
      </c>
      <c r="H8" s="17">
        <v>3</v>
      </c>
      <c r="I8" s="17">
        <v>2</v>
      </c>
      <c r="J8" s="17">
        <v>2</v>
      </c>
      <c r="K8" s="17">
        <v>1</v>
      </c>
      <c r="L8" s="17">
        <v>1</v>
      </c>
    </row>
    <row r="9" ht="22" customHeight="1">
      <c r="A9" s="16">
        <v>10000</v>
      </c>
      <c r="B9" s="19">
        <v>13</v>
      </c>
      <c r="C9" s="19">
        <v>10</v>
      </c>
      <c r="D9" s="19">
        <v>8</v>
      </c>
      <c r="E9" s="19">
        <v>6</v>
      </c>
      <c r="F9" s="19">
        <v>5</v>
      </c>
      <c r="G9" s="19">
        <v>5</v>
      </c>
      <c r="H9" s="17">
        <v>4</v>
      </c>
      <c r="I9" s="17">
        <v>3</v>
      </c>
      <c r="J9" s="17">
        <v>2</v>
      </c>
      <c r="K9" s="17">
        <v>2</v>
      </c>
      <c r="L9" s="17">
        <v>2</v>
      </c>
    </row>
    <row r="10" ht="22" customHeight="1">
      <c r="A10" s="16">
        <v>15000</v>
      </c>
      <c r="B10" s="19">
        <v>20</v>
      </c>
      <c r="C10" s="19">
        <v>15</v>
      </c>
      <c r="D10" s="19">
        <v>12</v>
      </c>
      <c r="E10" s="19">
        <v>10</v>
      </c>
      <c r="F10" s="19">
        <v>8</v>
      </c>
      <c r="G10" s="19">
        <v>7</v>
      </c>
      <c r="H10" s="19">
        <v>6</v>
      </c>
      <c r="I10" s="19">
        <v>5</v>
      </c>
      <c r="J10" s="17">
        <v>4</v>
      </c>
      <c r="K10" s="17">
        <v>3</v>
      </c>
      <c r="L10" s="17">
        <v>3</v>
      </c>
    </row>
    <row r="11" ht="22" customHeight="1">
      <c r="A11" s="16">
        <v>20000</v>
      </c>
      <c r="B11" s="19">
        <v>26</v>
      </c>
      <c r="C11" s="19">
        <v>20</v>
      </c>
      <c r="D11" s="19">
        <v>16</v>
      </c>
      <c r="E11" s="19">
        <v>13</v>
      </c>
      <c r="F11" s="19">
        <v>11</v>
      </c>
      <c r="G11" s="19">
        <v>10</v>
      </c>
      <c r="H11" s="19">
        <v>8</v>
      </c>
      <c r="I11" s="19">
        <v>6</v>
      </c>
      <c r="J11" s="19">
        <v>5</v>
      </c>
      <c r="K11" s="17">
        <v>4</v>
      </c>
      <c r="L11" s="17">
        <v>4</v>
      </c>
    </row>
    <row r="12"/>
    <row r="13" ht="40" customHeight="1">
      <c r="A13" s="5" t="s">
        <v>53</v>
      </c>
    </row>
  </sheetData>
  <mergeCells count="4">
    <mergeCell ref="A1:L1"/>
    <mergeCell ref="A2:A3"/>
    <mergeCell ref="B2:L2"/>
    <mergeCell ref="A13:L13"/>
  </mergeCells>
</worksheet>
</file>