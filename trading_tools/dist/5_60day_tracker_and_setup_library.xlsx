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60天实盘追踪" sheetId="1" r:id="rId1"/>
    <sheet name="阶段里程碑" sheetId="2" r:id="rId2"/>
    <sheet name="Setup图库构建指南" sheetId="3" r:id="rId3"/>
    <sheet name="周复盘模板" sheetId="4" r:id="rId4"/>
  </sheets>
</workbook>
</file>

<file path=xl/sharedStrings.xml><?xml version="1.0" encoding="utf-8"?>
<sst xmlns="http://schemas.openxmlformats.org/spreadsheetml/2006/main" count="135" uniqueCount="135">
  <si>
    <t xml:space="preserve">前 60 天实盘追踪表 — 关注执行质量，不是每日盈亏</t>
  </si>
  <si>
    <t xml:space="preserve">核心原则：这 60 天的目标是【建立纪律】，不是赚钱。执行分平均 ≥8、规则遵守率 100% 就是成功，哪怕账户小幅亏损。</t>
  </si>
  <si>
    <t xml:space="preserve">日期</t>
  </si>
  <si>
    <t xml:space="preserve">交易日#</t>
  </si>
  <si>
    <t xml:space="preserve">笔数</t>
  </si>
  <si>
    <t xml:space="preserve">胜</t>
  </si>
  <si>
    <t xml:space="preserve">负</t>
  </si>
  <si>
    <t xml:space="preserve">平</t>
  </si>
  <si>
    <t xml:space="preserve">当日R</t>
  </si>
  <si>
    <t xml:space="preserve">当日$</t>
  </si>
  <si>
    <t xml:space="preserve">累计$</t>
  </si>
  <si>
    <t xml:space="preserve">执行分</t>
  </si>
  <si>
    <t xml:space="preserve">规则违反?</t>
  </si>
  <si>
    <t xml:space="preserve">情绪分(1-10)</t>
  </si>
  <si>
    <t xml:space="preserve">睡眠分(1-10)</t>
  </si>
  <si>
    <t xml:space="preserve">当日关键复盘</t>
  </si>
  <si>
    <t xml:space="preserve"/>
  </si>
  <si>
    <t xml:space="preserve">60 天汇总（自动）</t>
  </si>
  <si>
    <t xml:space="preserve">交易日天数</t>
  </si>
  <si>
    <t xml:space="preserve">总笔数</t>
  </si>
  <si>
    <t xml:space="preserve">总胜</t>
  </si>
  <si>
    <t xml:space="preserve">总负</t>
  </si>
  <si>
    <t xml:space="preserve">胜率 (%)</t>
  </si>
  <si>
    <t xml:space="preserve">累计 R</t>
  </si>
  <si>
    <t xml:space="preserve">累计 $</t>
  </si>
  <si>
    <t xml:space="preserve">执行分均值</t>
  </si>
  <si>
    <t xml:space="preserve">规则违反次数</t>
  </si>
  <si>
    <t xml:space="preserve">情绪分均值</t>
  </si>
  <si>
    <t xml:space="preserve">睡眠分均值</t>
  </si>
  <si>
    <t xml:space="preserve">最大回撤($, 估算)</t>
  </si>
  <si>
    <t xml:space="preserve">分阶段评估里程碑（前 60 天 + 之后）</t>
  </si>
  <si>
    <t xml:space="preserve">阶段</t>
  </si>
  <si>
    <t xml:space="preserve">目标</t>
  </si>
  <si>
    <t xml:space="preserve">评估指标</t>
  </si>
  <si>
    <t xml:space="preserve">失败退出标准</t>
  </si>
  <si>
    <t xml:space="preserve">Day 1–10</t>
  </si>
  <si>
    <t xml:space="preserve">纯熟悉期</t>
  </si>
  <si>
    <t xml:space="preserve">每天按时坐下盯盘；完成 checklist；记录 ≥3 条当日观察</t>
  </si>
  <si>
    <t xml:space="preserve">&lt; 7 天出现在交易桌前 → 重新评估时间可行性</t>
  </si>
  <si>
    <t xml:space="preserve">Day 11–30</t>
  </si>
  <si>
    <t xml:space="preserve">setup 识别期</t>
  </si>
  <si>
    <t xml:space="preserve">能在 5min 图上口头讲出 H2/L2 的出现；每晚复盘至少 1 个图例；执行分 ≥7</t>
  </si>
  <si>
    <t xml:space="preserve">打分与结果无相关 → 回到案例学习，不加仓</t>
  </si>
  <si>
    <t xml:space="preserve">Day 31–60</t>
  </si>
  <si>
    <t xml:space="preserve">执行稳定期</t>
  </si>
  <si>
    <t xml:space="preserve">规则违反 ≤ 5 次；执行分均值 ≥8；累计亏损 ≤ 20%（$800）</t>
  </si>
  <si>
    <t xml:space="preserve">累计亏损 &gt;30%（$1200）→ 强制停手 2 周复盘</t>
  </si>
  <si>
    <t xml:space="preserve">Day 61–120</t>
  </si>
  <si>
    <t xml:space="preserve">盈亏平衡期</t>
  </si>
  <si>
    <t xml:space="preserve">月均盈亏 -2% ~ +2%；胜率稳定 45%+；平均 R:R ≥ 1.5</t>
  </si>
  <si>
    <t xml:space="preserve">累计月数亏损 2 个月 → 回到模拟盘</t>
  </si>
  <si>
    <t xml:space="preserve">Day 121–240</t>
  </si>
  <si>
    <t xml:space="preserve">正期望确认期</t>
  </si>
  <si>
    <t xml:space="preserve">累计盈利（扣成本）；月度 MAR（收益/回撤）&gt;1.5</t>
  </si>
  <si>
    <t xml:space="preserve">不满足则不进入下一阶段</t>
  </si>
  <si>
    <t xml:space="preserve">Day 241+</t>
  </si>
  <si>
    <t xml:space="preserve">加仓决策期</t>
  </si>
  <si>
    <t xml:space="preserve">账户 ≥ $6000 才考虑 2 张 MES；先做 3 个月 2 张模拟</t>
  </si>
  <si>
    <t xml:space="preserve">切勿因短期盈利而跳过验证</t>
  </si>
  <si>
    <t xml:space="preserve">自建 H2/L2 + Failed Breakout 图库的完整流程</t>
  </si>
  <si>
    <t xml:space="preserve">为什么必须自建图库</t>
  </si>
  <si>
    <t xml:space="preserve">Al Brooks 书里的案例是 S&amp;P 多年前的数据，波动率、流动性、算法主导度都已变化。</t>
  </si>
  <si>
    <t xml:space="preserve">你自己时段（北京时间开盘后 2 小时）的 setup 有特殊纹理，别人的图库捕捉不到。</t>
  </si>
  <si>
    <t xml:space="preserve">自建过程本身就是刻意练习，200 张图看下来，你对 H2/L2 的识别会进入直觉层。</t>
  </si>
  <si>
    <t xml:space="preserve">图库是你专属的「第二大脑」，未来每一次犹豫都可以翻看。</t>
  </si>
  <si>
    <t xml:space="preserve">目标数量与时间</t>
  </si>
  <si>
    <t xml:space="preserve">H2 Long：60 张 A 级 + 60 张 B 级 + 30 张失败案例 = 150 张</t>
  </si>
  <si>
    <t xml:space="preserve">L2 Short：同上 150 张</t>
  </si>
  <si>
    <t xml:space="preserve">Failed Breakout：共 100 张（分 Up/Down）</t>
  </si>
  <si>
    <t xml:space="preserve">合计约 400 张，用 3–6 个月完成。</t>
  </si>
  <si>
    <t xml:space="preserve">每天花 20 分钟看 3–5 张历史图，累计 60 天基本完成核心框架。</t>
  </si>
  <si>
    <t xml:space="preserve">数据源（免费为主）</t>
  </si>
  <si>
    <t xml:space="preserve">• TradingView 免费版即可（ES1! 或 MES1! 合约，5min + 1min 图）</t>
  </si>
  <si>
    <t xml:space="preserve">• Barchart.com 免费历史日内数据</t>
  </si>
  <si>
    <t xml:space="preserve">• 你自己的交易软件：回看自己经历过的每一天</t>
  </si>
  <si>
    <t xml:space="preserve">• 社区资源：Al Brooks 官方 YouTube 频道大量免费案例</t>
  </si>
  <si>
    <t xml:space="preserve">• Lance Beggs 的 YourTradingCoach 博客有免费的 price action 图例</t>
  </si>
  <si>
    <t xml:space="preserve">标注工具</t>
  </si>
  <si>
    <t xml:space="preserve">TradingView：直接截图 + 画线工具标注</t>
  </si>
  <si>
    <t xml:space="preserve">命名规则：YYYYMMDD_时段_Setup_等级.png</t>
  </si>
  <si>
    <t xml:space="preserve">示例：20250509_2145BJT_H2L_A.png</t>
  </si>
  <si>
    <t xml:space="preserve">存储：云盘分文件夹（H2-A / H2-B / H2-Failed / L2-A ...）</t>
  </si>
  <si>
    <t xml:space="preserve">每张图必须标注的 6 个元素</t>
  </si>
  <si>
    <t xml:space="preserve">1. 20EMA 的位置与斜率</t>
  </si>
  <si>
    <t xml:space="preserve">2. 最近 2 个 HH + 2 个 HL（或 LH + LL）的连线</t>
  </si>
  <si>
    <t xml:space="preserve">3. 第一次回调（Pullback 1）起止点</t>
  </si>
  <si>
    <t xml:space="preserve">4. 第二次回调（Pullback 2）起止点</t>
  </si>
  <si>
    <t xml:space="preserve">5. 入场信号 bar（圈出来）</t>
  </si>
  <si>
    <t xml:space="preserve">6. 如果是历史复盘，标注实际止损位与最终结果（+多少 R / 止损 / 保本）</t>
  </si>
  <si>
    <t xml:space="preserve">A / B / C 等级判定标准</t>
  </si>
  <si>
    <t xml:space="preserve">A 级（理想案例）：4 项打分全部 25，趋势极清晰，信号 bar 完美</t>
  </si>
  <si>
    <t xml:space="preserve">B 级（常见案例）：总分 75–89，有 1–2 项是 15 分</t>
  </si>
  <si>
    <t xml:space="preserve">C 级（勉强案例）：总分 60–74，不交易但可以学习</t>
  </si>
  <si>
    <t xml:space="preserve">失败案例：打分够高但最终止损 → 分析为何失败（极其宝贵）</t>
  </si>
  <si>
    <t xml:space="preserve">使用图库复盘的方法</t>
  </si>
  <si>
    <t xml:space="preserve">每周日晚：翻看上周所有新加入的图 + 随机抽查 20 张旧图</t>
  </si>
  <si>
    <t xml:space="preserve">问自己：当时如果再遇到，我能多快识别？能否口头讲出 setup 的 4 要素？</t>
  </si>
  <si>
    <t xml:space="preserve">将失败案例单独再看一遍：下次见到类似的，跳过还是照做？</t>
  </si>
  <si>
    <t xml:space="preserve">每月一次：删除重复性过高的图（保留代表性即可，不要囤积）</t>
  </si>
  <si>
    <t xml:space="preserve">进阶：建立你自己的「特征清单」</t>
  </si>
  <si>
    <t xml:space="preserve">随着图看得多，你会发现当晚当地有一些特殊规律，比如：</t>
  </si>
  <si>
    <t xml:space="preserve">• 北京时间 23:00 前后（美东 11:00）常见午休回调 → H2 胜率高</t>
  </si>
  <si>
    <t xml:space="preserve">• 某些财报日第二天开盘 30min 内，Failed Breakout 概率高</t>
  </si>
  <si>
    <t xml:space="preserve">• VIX 突然 &gt;20 的日子，H2 容易变成 H2 失败</t>
  </si>
  <si>
    <t xml:space="preserve">把这些「你专属的规律」写进个人特征清单，每 30 天扩充一次。</t>
  </si>
  <si>
    <t xml:space="preserve">这才是 Al Brooks 书里学不到的、你真正的 edge。</t>
  </si>
  <si>
    <t xml:space="preserve">常见错误</t>
  </si>
  <si>
    <t xml:space="preserve">❌ 囤图不复盘（有 500 张但每张只看过一次 = 等于没做）</t>
  </si>
  <si>
    <t xml:space="preserve">❌ 只收集成功案例（失败案例才是 edge 的来源）</t>
  </si>
  <si>
    <t xml:space="preserve">❌ 标注太潦草（3 个月后自己都看不懂）</t>
  </si>
  <si>
    <t xml:space="preserve">❌ 不分级（所有 H2 等价，失去筛选意义）</t>
  </si>
  <si>
    <t xml:space="preserve">❌ 数据源混乱（用 SPY + QQQ + ES 混标，周期单位乱）</t>
  </si>
  <si>
    <t xml:space="preserve">起步 7 天行动计划</t>
  </si>
  <si>
    <t xml:space="preserve">Day 1：创建文件夹结构，学会 TradingView 截图 + 画线</t>
  </si>
  <si>
    <t xml:space="preserve">Day 2–3：找 10 张 Al Brooks 书里或 YouTube 里的经典 H2 图，自己重画</t>
  </si>
  <si>
    <t xml:space="preserve">Day 4：回看本周美股任意 1 天 MES 5min 图，手动找 H2，标 3–5 张</t>
  </si>
  <si>
    <t xml:space="preserve">Day 5：同上，找 L2</t>
  </si>
  <si>
    <t xml:space="preserve">Day 6：同上，找 Failed Breakout</t>
  </si>
  <si>
    <t xml:space="preserve">Day 7：整理一周的 15–20 张图，按 A/B/C 分类，写 1 份总结</t>
  </si>
  <si>
    <t xml:space="preserve">从第 8 天起：每个交易日结束后至少收 2 张（自己当晚的 + 历史的）</t>
  </si>
  <si>
    <t xml:space="preserve">每周日晚复盘模板（20 分钟内完成）</t>
  </si>
  <si>
    <t xml:space="preserve">问题</t>
  </si>
  <si>
    <t xml:space="preserve">回答</t>
  </si>
  <si>
    <t xml:space="preserve">1. 本周交易了几天？几笔？</t>
  </si>
  <si>
    <t xml:space="preserve">2. 胜率、R:R、累计 R、累计 $？</t>
  </si>
  <si>
    <t xml:space="preserve">3. 执行分平均分？有没有规则违反？</t>
  </si>
  <si>
    <t xml:space="preserve">4. 最得意的一笔（贴图+1 句总结）</t>
  </si>
  <si>
    <t xml:space="preserve">5. 最糟糕的一笔（贴图+1 句原因诊断）</t>
  </si>
  <si>
    <t xml:space="preserve">6. 被噪音止损的比例高吗？（&gt;30% → 止损太紧）</t>
  </si>
  <si>
    <t xml:space="preserve">7. 错过了几个 A 级 setup？原因？</t>
  </si>
  <si>
    <t xml:space="preserve">8. 情绪有无异常（FOMO / 报复 / 疲劳高发）？</t>
  </si>
  <si>
    <t xml:space="preserve">9. 睡眠均分？工作日有无被交易影响？</t>
  </si>
  <si>
    <t xml:space="preserve">10. 本周新入库了多少张 setup 图？</t>
  </si>
  <si>
    <t xml:space="preserve">11. 本周最大的认知升级是什么？（1–3 句）</t>
  </si>
  <si>
    <t xml:space="preserve">12. 下周需要特别注意的 1 件事？</t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</si>
</sst>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$#,##0.00"/>
  </numFmts>
  <fonts count="6">
    <font>
      <sz val="11"/>
      <color rgb="FF000000"/>
      <name val="Calibri"/>
    </font>
    <font>
      <b/>
      <sz val="16"/>
      <color rgb="FFFFFFFF"/>
      <name val="Calibri"/>
    </font>
    <font>
      <sz val="10"/>
      <color rgb="FF595959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164" fontId="0" fillId="3" borderId="1" xfId="0" applyFill="1" applyBorder="1" applyNumberFormat="1" applyAlignment="1">
      <alignment horizontal="center" vertical="center"/>
    </xf>
    <xf numFmtId="165" fontId="0" fillId="3" borderId="1" xfId="0" applyFill="1" applyBorder="1" applyNumberFormat="1" applyAlignment="1">
      <alignment horizontal="center" vertical="center"/>
    </xf>
    <xf numFmtId="166" fontId="0" fillId="3" borderId="1" xfId="0" applyFill="1" applyBorder="1" applyNumberFormat="1" applyAlignment="1">
      <alignment horizontal="center" vertical="center"/>
    </xf>
    <xf numFmtId="166" fontId="4" fillId="4" borderId="1" xfId="0" applyFont="1" applyFill="1" applyBorder="1" applyNumberFormat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164" fontId="4" fillId="4" borderId="1" xfId="0" applyFont="1" applyFill="1" applyBorder="1" applyNumberFormat="1" applyAlignment="1">
      <alignment horizontal="center" vertical="center"/>
    </xf>
    <xf numFmtId="165" fontId="4" fillId="4" borderId="1" xfId="0" applyFont="1" applyFill="1" applyBorder="1" applyNumberFormat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xSplit="2" ySplit="3" topLeftCell="C4" state="frozen"/>
    </sheetView>
  </sheetViews>
  <cols>
    <col min="1" max="1" width="11" customWidth="1"/>
    <col min="2" max="2" width="8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  <col min="8" max="8" width="10" customWidth="1"/>
    <col min="9" max="9" width="10" customWidth="1"/>
    <col min="10" max="10" width="11" customWidth="1"/>
    <col min="11" max="11" width="11" customWidth="1"/>
    <col min="12" max="12" width="12" customWidth="1"/>
    <col min="13" max="13" width="10" customWidth="1"/>
    <col min="14" max="14" width="28" customWidth="1"/>
  </cols>
  <sheetData>
    <row r="1" ht="28" customHeight="1">
      <c r="A1" s="1" t="s">
        <v>0</v>
      </c>
    </row>
    <row r="2" ht="30" customHeight="1">
      <c r="A2" s="2" t="s">
        <v>1</v>
      </c>
    </row>
    <row r="3" ht="32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ht="22" customHeight="1">
      <c r="A4" s="4" t="s">
        <v>16</v>
      </c>
      <c r="B4" s="5">
        <v>1</v>
      </c>
      <c r="C4" s="6" t="s">
        <v>16</v>
      </c>
      <c r="D4" s="6" t="s">
        <v>16</v>
      </c>
      <c r="E4" s="6" t="s">
        <v>16</v>
      </c>
      <c r="F4" s="6" t="s">
        <v>16</v>
      </c>
      <c r="G4" s="7" t="s">
        <v>16</v>
      </c>
      <c r="H4" s="8" t="s">
        <v>16</v>
      </c>
      <c r="I4" s="9">
        <f>H4</f>
      </c>
      <c r="J4" s="6" t="s">
        <v>16</v>
      </c>
      <c r="K4" s="4" t="s">
        <v>16</v>
      </c>
      <c r="L4" s="6" t="s">
        <v>16</v>
      </c>
      <c r="M4" s="6" t="s">
        <v>16</v>
      </c>
      <c r="N4" s="4" t="s">
        <v>16</v>
      </c>
    </row>
    <row r="5" ht="22" customHeight="1">
      <c r="A5" s="4" t="s">
        <v>16</v>
      </c>
      <c r="B5" s="5">
        <v>2</v>
      </c>
      <c r="C5" s="6" t="s">
        <v>16</v>
      </c>
      <c r="D5" s="6" t="s">
        <v>16</v>
      </c>
      <c r="E5" s="6" t="s">
        <v>16</v>
      </c>
      <c r="F5" s="6" t="s">
        <v>16</v>
      </c>
      <c r="G5" s="7" t="s">
        <v>16</v>
      </c>
      <c r="H5" s="8" t="s">
        <v>16</v>
      </c>
      <c r="I5" s="9">
        <f>IF(H5="",I4,I4+H5)</f>
      </c>
      <c r="J5" s="6" t="s">
        <v>16</v>
      </c>
      <c r="K5" s="4" t="s">
        <v>16</v>
      </c>
      <c r="L5" s="6" t="s">
        <v>16</v>
      </c>
      <c r="M5" s="6" t="s">
        <v>16</v>
      </c>
      <c r="N5" s="4" t="s">
        <v>16</v>
      </c>
    </row>
    <row r="6" ht="22" customHeight="1">
      <c r="A6" s="4" t="s">
        <v>16</v>
      </c>
      <c r="B6" s="5">
        <v>3</v>
      </c>
      <c r="C6" s="6" t="s">
        <v>16</v>
      </c>
      <c r="D6" s="6" t="s">
        <v>16</v>
      </c>
      <c r="E6" s="6" t="s">
        <v>16</v>
      </c>
      <c r="F6" s="6" t="s">
        <v>16</v>
      </c>
      <c r="G6" s="7" t="s">
        <v>16</v>
      </c>
      <c r="H6" s="8" t="s">
        <v>16</v>
      </c>
      <c r="I6" s="9">
        <f>IF(H6="",I5,I5+H6)</f>
      </c>
      <c r="J6" s="6" t="s">
        <v>16</v>
      </c>
      <c r="K6" s="4" t="s">
        <v>16</v>
      </c>
      <c r="L6" s="6" t="s">
        <v>16</v>
      </c>
      <c r="M6" s="6" t="s">
        <v>16</v>
      </c>
      <c r="N6" s="4" t="s">
        <v>16</v>
      </c>
    </row>
    <row r="7" ht="22" customHeight="1">
      <c r="A7" s="4" t="s">
        <v>16</v>
      </c>
      <c r="B7" s="5">
        <v>4</v>
      </c>
      <c r="C7" s="6" t="s">
        <v>16</v>
      </c>
      <c r="D7" s="6" t="s">
        <v>16</v>
      </c>
      <c r="E7" s="6" t="s">
        <v>16</v>
      </c>
      <c r="F7" s="6" t="s">
        <v>16</v>
      </c>
      <c r="G7" s="7" t="s">
        <v>16</v>
      </c>
      <c r="H7" s="8" t="s">
        <v>16</v>
      </c>
      <c r="I7" s="9">
        <f>IF(H7="",I6,I6+H7)</f>
      </c>
      <c r="J7" s="6" t="s">
        <v>16</v>
      </c>
      <c r="K7" s="4" t="s">
        <v>16</v>
      </c>
      <c r="L7" s="6" t="s">
        <v>16</v>
      </c>
      <c r="M7" s="6" t="s">
        <v>16</v>
      </c>
      <c r="N7" s="4" t="s">
        <v>16</v>
      </c>
    </row>
    <row r="8" ht="22" customHeight="1">
      <c r="A8" s="4" t="s">
        <v>16</v>
      </c>
      <c r="B8" s="5">
        <v>5</v>
      </c>
      <c r="C8" s="6" t="s">
        <v>16</v>
      </c>
      <c r="D8" s="6" t="s">
        <v>16</v>
      </c>
      <c r="E8" s="6" t="s">
        <v>16</v>
      </c>
      <c r="F8" s="6" t="s">
        <v>16</v>
      </c>
      <c r="G8" s="7" t="s">
        <v>16</v>
      </c>
      <c r="H8" s="8" t="s">
        <v>16</v>
      </c>
      <c r="I8" s="9">
        <f>IF(H8="",I7,I7+H8)</f>
      </c>
      <c r="J8" s="6" t="s">
        <v>16</v>
      </c>
      <c r="K8" s="4" t="s">
        <v>16</v>
      </c>
      <c r="L8" s="6" t="s">
        <v>16</v>
      </c>
      <c r="M8" s="6" t="s">
        <v>16</v>
      </c>
      <c r="N8" s="4" t="s">
        <v>16</v>
      </c>
    </row>
    <row r="9" ht="22" customHeight="1">
      <c r="A9" s="4" t="s">
        <v>16</v>
      </c>
      <c r="B9" s="5">
        <v>6</v>
      </c>
      <c r="C9" s="6" t="s">
        <v>16</v>
      </c>
      <c r="D9" s="6" t="s">
        <v>16</v>
      </c>
      <c r="E9" s="6" t="s">
        <v>16</v>
      </c>
      <c r="F9" s="6" t="s">
        <v>16</v>
      </c>
      <c r="G9" s="7" t="s">
        <v>16</v>
      </c>
      <c r="H9" s="8" t="s">
        <v>16</v>
      </c>
      <c r="I9" s="9">
        <f>IF(H9="",I8,I8+H9)</f>
      </c>
      <c r="J9" s="6" t="s">
        <v>16</v>
      </c>
      <c r="K9" s="4" t="s">
        <v>16</v>
      </c>
      <c r="L9" s="6" t="s">
        <v>16</v>
      </c>
      <c r="M9" s="6" t="s">
        <v>16</v>
      </c>
      <c r="N9" s="4" t="s">
        <v>16</v>
      </c>
    </row>
    <row r="10" ht="22" customHeight="1">
      <c r="A10" s="4" t="s">
        <v>16</v>
      </c>
      <c r="B10" s="5">
        <v>7</v>
      </c>
      <c r="C10" s="6" t="s">
        <v>16</v>
      </c>
      <c r="D10" s="6" t="s">
        <v>16</v>
      </c>
      <c r="E10" s="6" t="s">
        <v>16</v>
      </c>
      <c r="F10" s="6" t="s">
        <v>16</v>
      </c>
      <c r="G10" s="7" t="s">
        <v>16</v>
      </c>
      <c r="H10" s="8" t="s">
        <v>16</v>
      </c>
      <c r="I10" s="9">
        <f>IF(H10="",I9,I9+H10)</f>
      </c>
      <c r="J10" s="6" t="s">
        <v>16</v>
      </c>
      <c r="K10" s="4" t="s">
        <v>16</v>
      </c>
      <c r="L10" s="6" t="s">
        <v>16</v>
      </c>
      <c r="M10" s="6" t="s">
        <v>16</v>
      </c>
      <c r="N10" s="4" t="s">
        <v>16</v>
      </c>
    </row>
    <row r="11" ht="22" customHeight="1">
      <c r="A11" s="4" t="s">
        <v>16</v>
      </c>
      <c r="B11" s="5">
        <v>8</v>
      </c>
      <c r="C11" s="6" t="s">
        <v>16</v>
      </c>
      <c r="D11" s="6" t="s">
        <v>16</v>
      </c>
      <c r="E11" s="6" t="s">
        <v>16</v>
      </c>
      <c r="F11" s="6" t="s">
        <v>16</v>
      </c>
      <c r="G11" s="7" t="s">
        <v>16</v>
      </c>
      <c r="H11" s="8" t="s">
        <v>16</v>
      </c>
      <c r="I11" s="9">
        <f>IF(H11="",I10,I10+H11)</f>
      </c>
      <c r="J11" s="6" t="s">
        <v>16</v>
      </c>
      <c r="K11" s="4" t="s">
        <v>16</v>
      </c>
      <c r="L11" s="6" t="s">
        <v>16</v>
      </c>
      <c r="M11" s="6" t="s">
        <v>16</v>
      </c>
      <c r="N11" s="4" t="s">
        <v>16</v>
      </c>
    </row>
    <row r="12" ht="22" customHeight="1">
      <c r="A12" s="4" t="s">
        <v>16</v>
      </c>
      <c r="B12" s="5">
        <v>9</v>
      </c>
      <c r="C12" s="6" t="s">
        <v>16</v>
      </c>
      <c r="D12" s="6" t="s">
        <v>16</v>
      </c>
      <c r="E12" s="6" t="s">
        <v>16</v>
      </c>
      <c r="F12" s="6" t="s">
        <v>16</v>
      </c>
      <c r="G12" s="7" t="s">
        <v>16</v>
      </c>
      <c r="H12" s="8" t="s">
        <v>16</v>
      </c>
      <c r="I12" s="9">
        <f>IF(H12="",I11,I11+H12)</f>
      </c>
      <c r="J12" s="6" t="s">
        <v>16</v>
      </c>
      <c r="K12" s="4" t="s">
        <v>16</v>
      </c>
      <c r="L12" s="6" t="s">
        <v>16</v>
      </c>
      <c r="M12" s="6" t="s">
        <v>16</v>
      </c>
      <c r="N12" s="4" t="s">
        <v>16</v>
      </c>
    </row>
    <row r="13" ht="22" customHeight="1">
      <c r="A13" s="4" t="s">
        <v>16</v>
      </c>
      <c r="B13" s="5">
        <v>10</v>
      </c>
      <c r="C13" s="6" t="s">
        <v>16</v>
      </c>
      <c r="D13" s="6" t="s">
        <v>16</v>
      </c>
      <c r="E13" s="6" t="s">
        <v>16</v>
      </c>
      <c r="F13" s="6" t="s">
        <v>16</v>
      </c>
      <c r="G13" s="7" t="s">
        <v>16</v>
      </c>
      <c r="H13" s="8" t="s">
        <v>16</v>
      </c>
      <c r="I13" s="9">
        <f>IF(H13="",I12,I12+H13)</f>
      </c>
      <c r="J13" s="6" t="s">
        <v>16</v>
      </c>
      <c r="K13" s="4" t="s">
        <v>16</v>
      </c>
      <c r="L13" s="6" t="s">
        <v>16</v>
      </c>
      <c r="M13" s="6" t="s">
        <v>16</v>
      </c>
      <c r="N13" s="4" t="s">
        <v>16</v>
      </c>
    </row>
    <row r="14" ht="22" customHeight="1">
      <c r="A14" s="4" t="s">
        <v>16</v>
      </c>
      <c r="B14" s="5">
        <v>11</v>
      </c>
      <c r="C14" s="6" t="s">
        <v>16</v>
      </c>
      <c r="D14" s="6" t="s">
        <v>16</v>
      </c>
      <c r="E14" s="6" t="s">
        <v>16</v>
      </c>
      <c r="F14" s="6" t="s">
        <v>16</v>
      </c>
      <c r="G14" s="7" t="s">
        <v>16</v>
      </c>
      <c r="H14" s="8" t="s">
        <v>16</v>
      </c>
      <c r="I14" s="9">
        <f>IF(H14="",I13,I13+H14)</f>
      </c>
      <c r="J14" s="6" t="s">
        <v>16</v>
      </c>
      <c r="K14" s="4" t="s">
        <v>16</v>
      </c>
      <c r="L14" s="6" t="s">
        <v>16</v>
      </c>
      <c r="M14" s="6" t="s">
        <v>16</v>
      </c>
      <c r="N14" s="4" t="s">
        <v>16</v>
      </c>
    </row>
    <row r="15" ht="22" customHeight="1">
      <c r="A15" s="4" t="s">
        <v>16</v>
      </c>
      <c r="B15" s="5">
        <v>12</v>
      </c>
      <c r="C15" s="6" t="s">
        <v>16</v>
      </c>
      <c r="D15" s="6" t="s">
        <v>16</v>
      </c>
      <c r="E15" s="6" t="s">
        <v>16</v>
      </c>
      <c r="F15" s="6" t="s">
        <v>16</v>
      </c>
      <c r="G15" s="7" t="s">
        <v>16</v>
      </c>
      <c r="H15" s="8" t="s">
        <v>16</v>
      </c>
      <c r="I15" s="9">
        <f>IF(H15="",I14,I14+H15)</f>
      </c>
      <c r="J15" s="6" t="s">
        <v>16</v>
      </c>
      <c r="K15" s="4" t="s">
        <v>16</v>
      </c>
      <c r="L15" s="6" t="s">
        <v>16</v>
      </c>
      <c r="M15" s="6" t="s">
        <v>16</v>
      </c>
      <c r="N15" s="4" t="s">
        <v>16</v>
      </c>
    </row>
    <row r="16" ht="22" customHeight="1">
      <c r="A16" s="4" t="s">
        <v>16</v>
      </c>
      <c r="B16" s="5">
        <v>13</v>
      </c>
      <c r="C16" s="6" t="s">
        <v>16</v>
      </c>
      <c r="D16" s="6" t="s">
        <v>16</v>
      </c>
      <c r="E16" s="6" t="s">
        <v>16</v>
      </c>
      <c r="F16" s="6" t="s">
        <v>16</v>
      </c>
      <c r="G16" s="7" t="s">
        <v>16</v>
      </c>
      <c r="H16" s="8" t="s">
        <v>16</v>
      </c>
      <c r="I16" s="9">
        <f>IF(H16="",I15,I15+H16)</f>
      </c>
      <c r="J16" s="6" t="s">
        <v>16</v>
      </c>
      <c r="K16" s="4" t="s">
        <v>16</v>
      </c>
      <c r="L16" s="6" t="s">
        <v>16</v>
      </c>
      <c r="M16" s="6" t="s">
        <v>16</v>
      </c>
      <c r="N16" s="4" t="s">
        <v>16</v>
      </c>
    </row>
    <row r="17" ht="22" customHeight="1">
      <c r="A17" s="4" t="s">
        <v>16</v>
      </c>
      <c r="B17" s="5">
        <v>14</v>
      </c>
      <c r="C17" s="6" t="s">
        <v>16</v>
      </c>
      <c r="D17" s="6" t="s">
        <v>16</v>
      </c>
      <c r="E17" s="6" t="s">
        <v>16</v>
      </c>
      <c r="F17" s="6" t="s">
        <v>16</v>
      </c>
      <c r="G17" s="7" t="s">
        <v>16</v>
      </c>
      <c r="H17" s="8" t="s">
        <v>16</v>
      </c>
      <c r="I17" s="9">
        <f>IF(H17="",I16,I16+H17)</f>
      </c>
      <c r="J17" s="6" t="s">
        <v>16</v>
      </c>
      <c r="K17" s="4" t="s">
        <v>16</v>
      </c>
      <c r="L17" s="6" t="s">
        <v>16</v>
      </c>
      <c r="M17" s="6" t="s">
        <v>16</v>
      </c>
      <c r="N17" s="4" t="s">
        <v>16</v>
      </c>
    </row>
    <row r="18" ht="22" customHeight="1">
      <c r="A18" s="4" t="s">
        <v>16</v>
      </c>
      <c r="B18" s="5">
        <v>15</v>
      </c>
      <c r="C18" s="6" t="s">
        <v>16</v>
      </c>
      <c r="D18" s="6" t="s">
        <v>16</v>
      </c>
      <c r="E18" s="6" t="s">
        <v>16</v>
      </c>
      <c r="F18" s="6" t="s">
        <v>16</v>
      </c>
      <c r="G18" s="7" t="s">
        <v>16</v>
      </c>
      <c r="H18" s="8" t="s">
        <v>16</v>
      </c>
      <c r="I18" s="9">
        <f>IF(H18="",I17,I17+H18)</f>
      </c>
      <c r="J18" s="6" t="s">
        <v>16</v>
      </c>
      <c r="K18" s="4" t="s">
        <v>16</v>
      </c>
      <c r="L18" s="6" t="s">
        <v>16</v>
      </c>
      <c r="M18" s="6" t="s">
        <v>16</v>
      </c>
      <c r="N18" s="4" t="s">
        <v>16</v>
      </c>
    </row>
    <row r="19" ht="22" customHeight="1">
      <c r="A19" s="4" t="s">
        <v>16</v>
      </c>
      <c r="B19" s="5">
        <v>16</v>
      </c>
      <c r="C19" s="6" t="s">
        <v>16</v>
      </c>
      <c r="D19" s="6" t="s">
        <v>16</v>
      </c>
      <c r="E19" s="6" t="s">
        <v>16</v>
      </c>
      <c r="F19" s="6" t="s">
        <v>16</v>
      </c>
      <c r="G19" s="7" t="s">
        <v>16</v>
      </c>
      <c r="H19" s="8" t="s">
        <v>16</v>
      </c>
      <c r="I19" s="9">
        <f>IF(H19="",I18,I18+H19)</f>
      </c>
      <c r="J19" s="6" t="s">
        <v>16</v>
      </c>
      <c r="K19" s="4" t="s">
        <v>16</v>
      </c>
      <c r="L19" s="6" t="s">
        <v>16</v>
      </c>
      <c r="M19" s="6" t="s">
        <v>16</v>
      </c>
      <c r="N19" s="4" t="s">
        <v>16</v>
      </c>
    </row>
    <row r="20" ht="22" customHeight="1">
      <c r="A20" s="4" t="s">
        <v>16</v>
      </c>
      <c r="B20" s="5">
        <v>17</v>
      </c>
      <c r="C20" s="6" t="s">
        <v>16</v>
      </c>
      <c r="D20" s="6" t="s">
        <v>16</v>
      </c>
      <c r="E20" s="6" t="s">
        <v>16</v>
      </c>
      <c r="F20" s="6" t="s">
        <v>16</v>
      </c>
      <c r="G20" s="7" t="s">
        <v>16</v>
      </c>
      <c r="H20" s="8" t="s">
        <v>16</v>
      </c>
      <c r="I20" s="9">
        <f>IF(H20="",I19,I19+H20)</f>
      </c>
      <c r="J20" s="6" t="s">
        <v>16</v>
      </c>
      <c r="K20" s="4" t="s">
        <v>16</v>
      </c>
      <c r="L20" s="6" t="s">
        <v>16</v>
      </c>
      <c r="M20" s="6" t="s">
        <v>16</v>
      </c>
      <c r="N20" s="4" t="s">
        <v>16</v>
      </c>
    </row>
    <row r="21" ht="22" customHeight="1">
      <c r="A21" s="4" t="s">
        <v>16</v>
      </c>
      <c r="B21" s="5">
        <v>18</v>
      </c>
      <c r="C21" s="6" t="s">
        <v>16</v>
      </c>
      <c r="D21" s="6" t="s">
        <v>16</v>
      </c>
      <c r="E21" s="6" t="s">
        <v>16</v>
      </c>
      <c r="F21" s="6" t="s">
        <v>16</v>
      </c>
      <c r="G21" s="7" t="s">
        <v>16</v>
      </c>
      <c r="H21" s="8" t="s">
        <v>16</v>
      </c>
      <c r="I21" s="9">
        <f>IF(H21="",I20,I20+H21)</f>
      </c>
      <c r="J21" s="6" t="s">
        <v>16</v>
      </c>
      <c r="K21" s="4" t="s">
        <v>16</v>
      </c>
      <c r="L21" s="6" t="s">
        <v>16</v>
      </c>
      <c r="M21" s="6" t="s">
        <v>16</v>
      </c>
      <c r="N21" s="4" t="s">
        <v>16</v>
      </c>
    </row>
    <row r="22" ht="22" customHeight="1">
      <c r="A22" s="4" t="s">
        <v>16</v>
      </c>
      <c r="B22" s="5">
        <v>19</v>
      </c>
      <c r="C22" s="6" t="s">
        <v>16</v>
      </c>
      <c r="D22" s="6" t="s">
        <v>16</v>
      </c>
      <c r="E22" s="6" t="s">
        <v>16</v>
      </c>
      <c r="F22" s="6" t="s">
        <v>16</v>
      </c>
      <c r="G22" s="7" t="s">
        <v>16</v>
      </c>
      <c r="H22" s="8" t="s">
        <v>16</v>
      </c>
      <c r="I22" s="9">
        <f>IF(H22="",I21,I21+H22)</f>
      </c>
      <c r="J22" s="6" t="s">
        <v>16</v>
      </c>
      <c r="K22" s="4" t="s">
        <v>16</v>
      </c>
      <c r="L22" s="6" t="s">
        <v>16</v>
      </c>
      <c r="M22" s="6" t="s">
        <v>16</v>
      </c>
      <c r="N22" s="4" t="s">
        <v>16</v>
      </c>
    </row>
    <row r="23" ht="22" customHeight="1">
      <c r="A23" s="4" t="s">
        <v>16</v>
      </c>
      <c r="B23" s="5">
        <v>20</v>
      </c>
      <c r="C23" s="6" t="s">
        <v>16</v>
      </c>
      <c r="D23" s="6" t="s">
        <v>16</v>
      </c>
      <c r="E23" s="6" t="s">
        <v>16</v>
      </c>
      <c r="F23" s="6" t="s">
        <v>16</v>
      </c>
      <c r="G23" s="7" t="s">
        <v>16</v>
      </c>
      <c r="H23" s="8" t="s">
        <v>16</v>
      </c>
      <c r="I23" s="9">
        <f>IF(H23="",I22,I22+H23)</f>
      </c>
      <c r="J23" s="6" t="s">
        <v>16</v>
      </c>
      <c r="K23" s="4" t="s">
        <v>16</v>
      </c>
      <c r="L23" s="6" t="s">
        <v>16</v>
      </c>
      <c r="M23" s="6" t="s">
        <v>16</v>
      </c>
      <c r="N23" s="4" t="s">
        <v>16</v>
      </c>
    </row>
    <row r="24" ht="22" customHeight="1">
      <c r="A24" s="4" t="s">
        <v>16</v>
      </c>
      <c r="B24" s="5">
        <v>21</v>
      </c>
      <c r="C24" s="6" t="s">
        <v>16</v>
      </c>
      <c r="D24" s="6" t="s">
        <v>16</v>
      </c>
      <c r="E24" s="6" t="s">
        <v>16</v>
      </c>
      <c r="F24" s="6" t="s">
        <v>16</v>
      </c>
      <c r="G24" s="7" t="s">
        <v>16</v>
      </c>
      <c r="H24" s="8" t="s">
        <v>16</v>
      </c>
      <c r="I24" s="9">
        <f>IF(H24="",I23,I23+H24)</f>
      </c>
      <c r="J24" s="6" t="s">
        <v>16</v>
      </c>
      <c r="K24" s="4" t="s">
        <v>16</v>
      </c>
      <c r="L24" s="6" t="s">
        <v>16</v>
      </c>
      <c r="M24" s="6" t="s">
        <v>16</v>
      </c>
      <c r="N24" s="4" t="s">
        <v>16</v>
      </c>
    </row>
    <row r="25" ht="22" customHeight="1">
      <c r="A25" s="4" t="s">
        <v>16</v>
      </c>
      <c r="B25" s="5">
        <v>22</v>
      </c>
      <c r="C25" s="6" t="s">
        <v>16</v>
      </c>
      <c r="D25" s="6" t="s">
        <v>16</v>
      </c>
      <c r="E25" s="6" t="s">
        <v>16</v>
      </c>
      <c r="F25" s="6" t="s">
        <v>16</v>
      </c>
      <c r="G25" s="7" t="s">
        <v>16</v>
      </c>
      <c r="H25" s="8" t="s">
        <v>16</v>
      </c>
      <c r="I25" s="9">
        <f>IF(H25="",I24,I24+H25)</f>
      </c>
      <c r="J25" s="6" t="s">
        <v>16</v>
      </c>
      <c r="K25" s="4" t="s">
        <v>16</v>
      </c>
      <c r="L25" s="6" t="s">
        <v>16</v>
      </c>
      <c r="M25" s="6" t="s">
        <v>16</v>
      </c>
      <c r="N25" s="4" t="s">
        <v>16</v>
      </c>
    </row>
    <row r="26" ht="22" customHeight="1">
      <c r="A26" s="4" t="s">
        <v>16</v>
      </c>
      <c r="B26" s="5">
        <v>23</v>
      </c>
      <c r="C26" s="6" t="s">
        <v>16</v>
      </c>
      <c r="D26" s="6" t="s">
        <v>16</v>
      </c>
      <c r="E26" s="6" t="s">
        <v>16</v>
      </c>
      <c r="F26" s="6" t="s">
        <v>16</v>
      </c>
      <c r="G26" s="7" t="s">
        <v>16</v>
      </c>
      <c r="H26" s="8" t="s">
        <v>16</v>
      </c>
      <c r="I26" s="9">
        <f>IF(H26="",I25,I25+H26)</f>
      </c>
      <c r="J26" s="6" t="s">
        <v>16</v>
      </c>
      <c r="K26" s="4" t="s">
        <v>16</v>
      </c>
      <c r="L26" s="6" t="s">
        <v>16</v>
      </c>
      <c r="M26" s="6" t="s">
        <v>16</v>
      </c>
      <c r="N26" s="4" t="s">
        <v>16</v>
      </c>
    </row>
    <row r="27" ht="22" customHeight="1">
      <c r="A27" s="4" t="s">
        <v>16</v>
      </c>
      <c r="B27" s="5">
        <v>24</v>
      </c>
      <c r="C27" s="6" t="s">
        <v>16</v>
      </c>
      <c r="D27" s="6" t="s">
        <v>16</v>
      </c>
      <c r="E27" s="6" t="s">
        <v>16</v>
      </c>
      <c r="F27" s="6" t="s">
        <v>16</v>
      </c>
      <c r="G27" s="7" t="s">
        <v>16</v>
      </c>
      <c r="H27" s="8" t="s">
        <v>16</v>
      </c>
      <c r="I27" s="9">
        <f>IF(H27="",I26,I26+H27)</f>
      </c>
      <c r="J27" s="6" t="s">
        <v>16</v>
      </c>
      <c r="K27" s="4" t="s">
        <v>16</v>
      </c>
      <c r="L27" s="6" t="s">
        <v>16</v>
      </c>
      <c r="M27" s="6" t="s">
        <v>16</v>
      </c>
      <c r="N27" s="4" t="s">
        <v>16</v>
      </c>
    </row>
    <row r="28" ht="22" customHeight="1">
      <c r="A28" s="4" t="s">
        <v>16</v>
      </c>
      <c r="B28" s="5">
        <v>25</v>
      </c>
      <c r="C28" s="6" t="s">
        <v>16</v>
      </c>
      <c r="D28" s="6" t="s">
        <v>16</v>
      </c>
      <c r="E28" s="6" t="s">
        <v>16</v>
      </c>
      <c r="F28" s="6" t="s">
        <v>16</v>
      </c>
      <c r="G28" s="7" t="s">
        <v>16</v>
      </c>
      <c r="H28" s="8" t="s">
        <v>16</v>
      </c>
      <c r="I28" s="9">
        <f>IF(H28="",I27,I27+H28)</f>
      </c>
      <c r="J28" s="6" t="s">
        <v>16</v>
      </c>
      <c r="K28" s="4" t="s">
        <v>16</v>
      </c>
      <c r="L28" s="6" t="s">
        <v>16</v>
      </c>
      <c r="M28" s="6" t="s">
        <v>16</v>
      </c>
      <c r="N28" s="4" t="s">
        <v>16</v>
      </c>
    </row>
    <row r="29" ht="22" customHeight="1">
      <c r="A29" s="4" t="s">
        <v>16</v>
      </c>
      <c r="B29" s="5">
        <v>26</v>
      </c>
      <c r="C29" s="6" t="s">
        <v>16</v>
      </c>
      <c r="D29" s="6" t="s">
        <v>16</v>
      </c>
      <c r="E29" s="6" t="s">
        <v>16</v>
      </c>
      <c r="F29" s="6" t="s">
        <v>16</v>
      </c>
      <c r="G29" s="7" t="s">
        <v>16</v>
      </c>
      <c r="H29" s="8" t="s">
        <v>16</v>
      </c>
      <c r="I29" s="9">
        <f>IF(H29="",I28,I28+H29)</f>
      </c>
      <c r="J29" s="6" t="s">
        <v>16</v>
      </c>
      <c r="K29" s="4" t="s">
        <v>16</v>
      </c>
      <c r="L29" s="6" t="s">
        <v>16</v>
      </c>
      <c r="M29" s="6" t="s">
        <v>16</v>
      </c>
      <c r="N29" s="4" t="s">
        <v>16</v>
      </c>
    </row>
    <row r="30" ht="22" customHeight="1">
      <c r="A30" s="4" t="s">
        <v>16</v>
      </c>
      <c r="B30" s="5">
        <v>27</v>
      </c>
      <c r="C30" s="6" t="s">
        <v>16</v>
      </c>
      <c r="D30" s="6" t="s">
        <v>16</v>
      </c>
      <c r="E30" s="6" t="s">
        <v>16</v>
      </c>
      <c r="F30" s="6" t="s">
        <v>16</v>
      </c>
      <c r="G30" s="7" t="s">
        <v>16</v>
      </c>
      <c r="H30" s="8" t="s">
        <v>16</v>
      </c>
      <c r="I30" s="9">
        <f>IF(H30="",I29,I29+H30)</f>
      </c>
      <c r="J30" s="6" t="s">
        <v>16</v>
      </c>
      <c r="K30" s="4" t="s">
        <v>16</v>
      </c>
      <c r="L30" s="6" t="s">
        <v>16</v>
      </c>
      <c r="M30" s="6" t="s">
        <v>16</v>
      </c>
      <c r="N30" s="4" t="s">
        <v>16</v>
      </c>
    </row>
    <row r="31" ht="22" customHeight="1">
      <c r="A31" s="4" t="s">
        <v>16</v>
      </c>
      <c r="B31" s="5">
        <v>28</v>
      </c>
      <c r="C31" s="6" t="s">
        <v>16</v>
      </c>
      <c r="D31" s="6" t="s">
        <v>16</v>
      </c>
      <c r="E31" s="6" t="s">
        <v>16</v>
      </c>
      <c r="F31" s="6" t="s">
        <v>16</v>
      </c>
      <c r="G31" s="7" t="s">
        <v>16</v>
      </c>
      <c r="H31" s="8" t="s">
        <v>16</v>
      </c>
      <c r="I31" s="9">
        <f>IF(H31="",I30,I30+H31)</f>
      </c>
      <c r="J31" s="6" t="s">
        <v>16</v>
      </c>
      <c r="K31" s="4" t="s">
        <v>16</v>
      </c>
      <c r="L31" s="6" t="s">
        <v>16</v>
      </c>
      <c r="M31" s="6" t="s">
        <v>16</v>
      </c>
      <c r="N31" s="4" t="s">
        <v>16</v>
      </c>
    </row>
    <row r="32" ht="22" customHeight="1">
      <c r="A32" s="4" t="s">
        <v>16</v>
      </c>
      <c r="B32" s="5">
        <v>29</v>
      </c>
      <c r="C32" s="6" t="s">
        <v>16</v>
      </c>
      <c r="D32" s="6" t="s">
        <v>16</v>
      </c>
      <c r="E32" s="6" t="s">
        <v>16</v>
      </c>
      <c r="F32" s="6" t="s">
        <v>16</v>
      </c>
      <c r="G32" s="7" t="s">
        <v>16</v>
      </c>
      <c r="H32" s="8" t="s">
        <v>16</v>
      </c>
      <c r="I32" s="9">
        <f>IF(H32="",I31,I31+H32)</f>
      </c>
      <c r="J32" s="6" t="s">
        <v>16</v>
      </c>
      <c r="K32" s="4" t="s">
        <v>16</v>
      </c>
      <c r="L32" s="6" t="s">
        <v>16</v>
      </c>
      <c r="M32" s="6" t="s">
        <v>16</v>
      </c>
      <c r="N32" s="4" t="s">
        <v>16</v>
      </c>
    </row>
    <row r="33" ht="22" customHeight="1">
      <c r="A33" s="4" t="s">
        <v>16</v>
      </c>
      <c r="B33" s="5">
        <v>30</v>
      </c>
      <c r="C33" s="6" t="s">
        <v>16</v>
      </c>
      <c r="D33" s="6" t="s">
        <v>16</v>
      </c>
      <c r="E33" s="6" t="s">
        <v>16</v>
      </c>
      <c r="F33" s="6" t="s">
        <v>16</v>
      </c>
      <c r="G33" s="7" t="s">
        <v>16</v>
      </c>
      <c r="H33" s="8" t="s">
        <v>16</v>
      </c>
      <c r="I33" s="9">
        <f>IF(H33="",I32,I32+H33)</f>
      </c>
      <c r="J33" s="6" t="s">
        <v>16</v>
      </c>
      <c r="K33" s="4" t="s">
        <v>16</v>
      </c>
      <c r="L33" s="6" t="s">
        <v>16</v>
      </c>
      <c r="M33" s="6" t="s">
        <v>16</v>
      </c>
      <c r="N33" s="4" t="s">
        <v>16</v>
      </c>
    </row>
    <row r="34" ht="22" customHeight="1">
      <c r="A34" s="4" t="s">
        <v>16</v>
      </c>
      <c r="B34" s="5">
        <v>31</v>
      </c>
      <c r="C34" s="6" t="s">
        <v>16</v>
      </c>
      <c r="D34" s="6" t="s">
        <v>16</v>
      </c>
      <c r="E34" s="6" t="s">
        <v>16</v>
      </c>
      <c r="F34" s="6" t="s">
        <v>16</v>
      </c>
      <c r="G34" s="7" t="s">
        <v>16</v>
      </c>
      <c r="H34" s="8" t="s">
        <v>16</v>
      </c>
      <c r="I34" s="9">
        <f>IF(H34="",I33,I33+H34)</f>
      </c>
      <c r="J34" s="6" t="s">
        <v>16</v>
      </c>
      <c r="K34" s="4" t="s">
        <v>16</v>
      </c>
      <c r="L34" s="6" t="s">
        <v>16</v>
      </c>
      <c r="M34" s="6" t="s">
        <v>16</v>
      </c>
      <c r="N34" s="4" t="s">
        <v>16</v>
      </c>
    </row>
    <row r="35" ht="22" customHeight="1">
      <c r="A35" s="4" t="s">
        <v>16</v>
      </c>
      <c r="B35" s="5">
        <v>32</v>
      </c>
      <c r="C35" s="6" t="s">
        <v>16</v>
      </c>
      <c r="D35" s="6" t="s">
        <v>16</v>
      </c>
      <c r="E35" s="6" t="s">
        <v>16</v>
      </c>
      <c r="F35" s="6" t="s">
        <v>16</v>
      </c>
      <c r="G35" s="7" t="s">
        <v>16</v>
      </c>
      <c r="H35" s="8" t="s">
        <v>16</v>
      </c>
      <c r="I35" s="9">
        <f>IF(H35="",I34,I34+H35)</f>
      </c>
      <c r="J35" s="6" t="s">
        <v>16</v>
      </c>
      <c r="K35" s="4" t="s">
        <v>16</v>
      </c>
      <c r="L35" s="6" t="s">
        <v>16</v>
      </c>
      <c r="M35" s="6" t="s">
        <v>16</v>
      </c>
      <c r="N35" s="4" t="s">
        <v>16</v>
      </c>
    </row>
    <row r="36" ht="22" customHeight="1">
      <c r="A36" s="4" t="s">
        <v>16</v>
      </c>
      <c r="B36" s="5">
        <v>33</v>
      </c>
      <c r="C36" s="6" t="s">
        <v>16</v>
      </c>
      <c r="D36" s="6" t="s">
        <v>16</v>
      </c>
      <c r="E36" s="6" t="s">
        <v>16</v>
      </c>
      <c r="F36" s="6" t="s">
        <v>16</v>
      </c>
      <c r="G36" s="7" t="s">
        <v>16</v>
      </c>
      <c r="H36" s="8" t="s">
        <v>16</v>
      </c>
      <c r="I36" s="9">
        <f>IF(H36="",I35,I35+H36)</f>
      </c>
      <c r="J36" s="6" t="s">
        <v>16</v>
      </c>
      <c r="K36" s="4" t="s">
        <v>16</v>
      </c>
      <c r="L36" s="6" t="s">
        <v>16</v>
      </c>
      <c r="M36" s="6" t="s">
        <v>16</v>
      </c>
      <c r="N36" s="4" t="s">
        <v>16</v>
      </c>
    </row>
    <row r="37" ht="22" customHeight="1">
      <c r="A37" s="4" t="s">
        <v>16</v>
      </c>
      <c r="B37" s="5">
        <v>34</v>
      </c>
      <c r="C37" s="6" t="s">
        <v>16</v>
      </c>
      <c r="D37" s="6" t="s">
        <v>16</v>
      </c>
      <c r="E37" s="6" t="s">
        <v>16</v>
      </c>
      <c r="F37" s="6" t="s">
        <v>16</v>
      </c>
      <c r="G37" s="7" t="s">
        <v>16</v>
      </c>
      <c r="H37" s="8" t="s">
        <v>16</v>
      </c>
      <c r="I37" s="9">
        <f>IF(H37="",I36,I36+H37)</f>
      </c>
      <c r="J37" s="6" t="s">
        <v>16</v>
      </c>
      <c r="K37" s="4" t="s">
        <v>16</v>
      </c>
      <c r="L37" s="6" t="s">
        <v>16</v>
      </c>
      <c r="M37" s="6" t="s">
        <v>16</v>
      </c>
      <c r="N37" s="4" t="s">
        <v>16</v>
      </c>
    </row>
    <row r="38" ht="22" customHeight="1">
      <c r="A38" s="4" t="s">
        <v>16</v>
      </c>
      <c r="B38" s="5">
        <v>35</v>
      </c>
      <c r="C38" s="6" t="s">
        <v>16</v>
      </c>
      <c r="D38" s="6" t="s">
        <v>16</v>
      </c>
      <c r="E38" s="6" t="s">
        <v>16</v>
      </c>
      <c r="F38" s="6" t="s">
        <v>16</v>
      </c>
      <c r="G38" s="7" t="s">
        <v>16</v>
      </c>
      <c r="H38" s="8" t="s">
        <v>16</v>
      </c>
      <c r="I38" s="9">
        <f>IF(H38="",I37,I37+H38)</f>
      </c>
      <c r="J38" s="6" t="s">
        <v>16</v>
      </c>
      <c r="K38" s="4" t="s">
        <v>16</v>
      </c>
      <c r="L38" s="6" t="s">
        <v>16</v>
      </c>
      <c r="M38" s="6" t="s">
        <v>16</v>
      </c>
      <c r="N38" s="4" t="s">
        <v>16</v>
      </c>
    </row>
    <row r="39" ht="22" customHeight="1">
      <c r="A39" s="4" t="s">
        <v>16</v>
      </c>
      <c r="B39" s="5">
        <v>36</v>
      </c>
      <c r="C39" s="6" t="s">
        <v>16</v>
      </c>
      <c r="D39" s="6" t="s">
        <v>16</v>
      </c>
      <c r="E39" s="6" t="s">
        <v>16</v>
      </c>
      <c r="F39" s="6" t="s">
        <v>16</v>
      </c>
      <c r="G39" s="7" t="s">
        <v>16</v>
      </c>
      <c r="H39" s="8" t="s">
        <v>16</v>
      </c>
      <c r="I39" s="9">
        <f>IF(H39="",I38,I38+H39)</f>
      </c>
      <c r="J39" s="6" t="s">
        <v>16</v>
      </c>
      <c r="K39" s="4" t="s">
        <v>16</v>
      </c>
      <c r="L39" s="6" t="s">
        <v>16</v>
      </c>
      <c r="M39" s="6" t="s">
        <v>16</v>
      </c>
      <c r="N39" s="4" t="s">
        <v>16</v>
      </c>
    </row>
    <row r="40" ht="22" customHeight="1">
      <c r="A40" s="4" t="s">
        <v>16</v>
      </c>
      <c r="B40" s="5">
        <v>37</v>
      </c>
      <c r="C40" s="6" t="s">
        <v>16</v>
      </c>
      <c r="D40" s="6" t="s">
        <v>16</v>
      </c>
      <c r="E40" s="6" t="s">
        <v>16</v>
      </c>
      <c r="F40" s="6" t="s">
        <v>16</v>
      </c>
      <c r="G40" s="7" t="s">
        <v>16</v>
      </c>
      <c r="H40" s="8" t="s">
        <v>16</v>
      </c>
      <c r="I40" s="9">
        <f>IF(H40="",I39,I39+H40)</f>
      </c>
      <c r="J40" s="6" t="s">
        <v>16</v>
      </c>
      <c r="K40" s="4" t="s">
        <v>16</v>
      </c>
      <c r="L40" s="6" t="s">
        <v>16</v>
      </c>
      <c r="M40" s="6" t="s">
        <v>16</v>
      </c>
      <c r="N40" s="4" t="s">
        <v>16</v>
      </c>
    </row>
    <row r="41" ht="22" customHeight="1">
      <c r="A41" s="4" t="s">
        <v>16</v>
      </c>
      <c r="B41" s="5">
        <v>38</v>
      </c>
      <c r="C41" s="6" t="s">
        <v>16</v>
      </c>
      <c r="D41" s="6" t="s">
        <v>16</v>
      </c>
      <c r="E41" s="6" t="s">
        <v>16</v>
      </c>
      <c r="F41" s="6" t="s">
        <v>16</v>
      </c>
      <c r="G41" s="7" t="s">
        <v>16</v>
      </c>
      <c r="H41" s="8" t="s">
        <v>16</v>
      </c>
      <c r="I41" s="9">
        <f>IF(H41="",I40,I40+H41)</f>
      </c>
      <c r="J41" s="6" t="s">
        <v>16</v>
      </c>
      <c r="K41" s="4" t="s">
        <v>16</v>
      </c>
      <c r="L41" s="6" t="s">
        <v>16</v>
      </c>
      <c r="M41" s="6" t="s">
        <v>16</v>
      </c>
      <c r="N41" s="4" t="s">
        <v>16</v>
      </c>
    </row>
    <row r="42" ht="22" customHeight="1">
      <c r="A42" s="4" t="s">
        <v>16</v>
      </c>
      <c r="B42" s="5">
        <v>39</v>
      </c>
      <c r="C42" s="6" t="s">
        <v>16</v>
      </c>
      <c r="D42" s="6" t="s">
        <v>16</v>
      </c>
      <c r="E42" s="6" t="s">
        <v>16</v>
      </c>
      <c r="F42" s="6" t="s">
        <v>16</v>
      </c>
      <c r="G42" s="7" t="s">
        <v>16</v>
      </c>
      <c r="H42" s="8" t="s">
        <v>16</v>
      </c>
      <c r="I42" s="9">
        <f>IF(H42="",I41,I41+H42)</f>
      </c>
      <c r="J42" s="6" t="s">
        <v>16</v>
      </c>
      <c r="K42" s="4" t="s">
        <v>16</v>
      </c>
      <c r="L42" s="6" t="s">
        <v>16</v>
      </c>
      <c r="M42" s="6" t="s">
        <v>16</v>
      </c>
      <c r="N42" s="4" t="s">
        <v>16</v>
      </c>
    </row>
    <row r="43" ht="22" customHeight="1">
      <c r="A43" s="4" t="s">
        <v>16</v>
      </c>
      <c r="B43" s="5">
        <v>40</v>
      </c>
      <c r="C43" s="6" t="s">
        <v>16</v>
      </c>
      <c r="D43" s="6" t="s">
        <v>16</v>
      </c>
      <c r="E43" s="6" t="s">
        <v>16</v>
      </c>
      <c r="F43" s="6" t="s">
        <v>16</v>
      </c>
      <c r="G43" s="7" t="s">
        <v>16</v>
      </c>
      <c r="H43" s="8" t="s">
        <v>16</v>
      </c>
      <c r="I43" s="9">
        <f>IF(H43="",I42,I42+H43)</f>
      </c>
      <c r="J43" s="6" t="s">
        <v>16</v>
      </c>
      <c r="K43" s="4" t="s">
        <v>16</v>
      </c>
      <c r="L43" s="6" t="s">
        <v>16</v>
      </c>
      <c r="M43" s="6" t="s">
        <v>16</v>
      </c>
      <c r="N43" s="4" t="s">
        <v>16</v>
      </c>
    </row>
    <row r="44" ht="22" customHeight="1">
      <c r="A44" s="4" t="s">
        <v>16</v>
      </c>
      <c r="B44" s="5">
        <v>41</v>
      </c>
      <c r="C44" s="6" t="s">
        <v>16</v>
      </c>
      <c r="D44" s="6" t="s">
        <v>16</v>
      </c>
      <c r="E44" s="6" t="s">
        <v>16</v>
      </c>
      <c r="F44" s="6" t="s">
        <v>16</v>
      </c>
      <c r="G44" s="7" t="s">
        <v>16</v>
      </c>
      <c r="H44" s="8" t="s">
        <v>16</v>
      </c>
      <c r="I44" s="9">
        <f>IF(H44="",I43,I43+H44)</f>
      </c>
      <c r="J44" s="6" t="s">
        <v>16</v>
      </c>
      <c r="K44" s="4" t="s">
        <v>16</v>
      </c>
      <c r="L44" s="6" t="s">
        <v>16</v>
      </c>
      <c r="M44" s="6" t="s">
        <v>16</v>
      </c>
      <c r="N44" s="4" t="s">
        <v>16</v>
      </c>
    </row>
    <row r="45" ht="22" customHeight="1">
      <c r="A45" s="4" t="s">
        <v>16</v>
      </c>
      <c r="B45" s="5">
        <v>42</v>
      </c>
      <c r="C45" s="6" t="s">
        <v>16</v>
      </c>
      <c r="D45" s="6" t="s">
        <v>16</v>
      </c>
      <c r="E45" s="6" t="s">
        <v>16</v>
      </c>
      <c r="F45" s="6" t="s">
        <v>16</v>
      </c>
      <c r="G45" s="7" t="s">
        <v>16</v>
      </c>
      <c r="H45" s="8" t="s">
        <v>16</v>
      </c>
      <c r="I45" s="9">
        <f>IF(H45="",I44,I44+H45)</f>
      </c>
      <c r="J45" s="6" t="s">
        <v>16</v>
      </c>
      <c r="K45" s="4" t="s">
        <v>16</v>
      </c>
      <c r="L45" s="6" t="s">
        <v>16</v>
      </c>
      <c r="M45" s="6" t="s">
        <v>16</v>
      </c>
      <c r="N45" s="4" t="s">
        <v>16</v>
      </c>
    </row>
    <row r="46" ht="22" customHeight="1">
      <c r="A46" s="4" t="s">
        <v>16</v>
      </c>
      <c r="B46" s="5">
        <v>43</v>
      </c>
      <c r="C46" s="6" t="s">
        <v>16</v>
      </c>
      <c r="D46" s="6" t="s">
        <v>16</v>
      </c>
      <c r="E46" s="6" t="s">
        <v>16</v>
      </c>
      <c r="F46" s="6" t="s">
        <v>16</v>
      </c>
      <c r="G46" s="7" t="s">
        <v>16</v>
      </c>
      <c r="H46" s="8" t="s">
        <v>16</v>
      </c>
      <c r="I46" s="9">
        <f>IF(H46="",I45,I45+H46)</f>
      </c>
      <c r="J46" s="6" t="s">
        <v>16</v>
      </c>
      <c r="K46" s="4" t="s">
        <v>16</v>
      </c>
      <c r="L46" s="6" t="s">
        <v>16</v>
      </c>
      <c r="M46" s="6" t="s">
        <v>16</v>
      </c>
      <c r="N46" s="4" t="s">
        <v>16</v>
      </c>
    </row>
    <row r="47" ht="22" customHeight="1">
      <c r="A47" s="4" t="s">
        <v>16</v>
      </c>
      <c r="B47" s="5">
        <v>44</v>
      </c>
      <c r="C47" s="6" t="s">
        <v>16</v>
      </c>
      <c r="D47" s="6" t="s">
        <v>16</v>
      </c>
      <c r="E47" s="6" t="s">
        <v>16</v>
      </c>
      <c r="F47" s="6" t="s">
        <v>16</v>
      </c>
      <c r="G47" s="7" t="s">
        <v>16</v>
      </c>
      <c r="H47" s="8" t="s">
        <v>16</v>
      </c>
      <c r="I47" s="9">
        <f>IF(H47="",I46,I46+H47)</f>
      </c>
      <c r="J47" s="6" t="s">
        <v>16</v>
      </c>
      <c r="K47" s="4" t="s">
        <v>16</v>
      </c>
      <c r="L47" s="6" t="s">
        <v>16</v>
      </c>
      <c r="M47" s="6" t="s">
        <v>16</v>
      </c>
      <c r="N47" s="4" t="s">
        <v>16</v>
      </c>
    </row>
    <row r="48" ht="22" customHeight="1">
      <c r="A48" s="4" t="s">
        <v>16</v>
      </c>
      <c r="B48" s="5">
        <v>45</v>
      </c>
      <c r="C48" s="6" t="s">
        <v>16</v>
      </c>
      <c r="D48" s="6" t="s">
        <v>16</v>
      </c>
      <c r="E48" s="6" t="s">
        <v>16</v>
      </c>
      <c r="F48" s="6" t="s">
        <v>16</v>
      </c>
      <c r="G48" s="7" t="s">
        <v>16</v>
      </c>
      <c r="H48" s="8" t="s">
        <v>16</v>
      </c>
      <c r="I48" s="9">
        <f>IF(H48="",I47,I47+H48)</f>
      </c>
      <c r="J48" s="6" t="s">
        <v>16</v>
      </c>
      <c r="K48" s="4" t="s">
        <v>16</v>
      </c>
      <c r="L48" s="6" t="s">
        <v>16</v>
      </c>
      <c r="M48" s="6" t="s">
        <v>16</v>
      </c>
      <c r="N48" s="4" t="s">
        <v>16</v>
      </c>
    </row>
    <row r="49" ht="22" customHeight="1">
      <c r="A49" s="4" t="s">
        <v>16</v>
      </c>
      <c r="B49" s="5">
        <v>46</v>
      </c>
      <c r="C49" s="6" t="s">
        <v>16</v>
      </c>
      <c r="D49" s="6" t="s">
        <v>16</v>
      </c>
      <c r="E49" s="6" t="s">
        <v>16</v>
      </c>
      <c r="F49" s="6" t="s">
        <v>16</v>
      </c>
      <c r="G49" s="7" t="s">
        <v>16</v>
      </c>
      <c r="H49" s="8" t="s">
        <v>16</v>
      </c>
      <c r="I49" s="9">
        <f>IF(H49="",I48,I48+H49)</f>
      </c>
      <c r="J49" s="6" t="s">
        <v>16</v>
      </c>
      <c r="K49" s="4" t="s">
        <v>16</v>
      </c>
      <c r="L49" s="6" t="s">
        <v>16</v>
      </c>
      <c r="M49" s="6" t="s">
        <v>16</v>
      </c>
      <c r="N49" s="4" t="s">
        <v>16</v>
      </c>
    </row>
    <row r="50" ht="22" customHeight="1">
      <c r="A50" s="4" t="s">
        <v>16</v>
      </c>
      <c r="B50" s="5">
        <v>47</v>
      </c>
      <c r="C50" s="6" t="s">
        <v>16</v>
      </c>
      <c r="D50" s="6" t="s">
        <v>16</v>
      </c>
      <c r="E50" s="6" t="s">
        <v>16</v>
      </c>
      <c r="F50" s="6" t="s">
        <v>16</v>
      </c>
      <c r="G50" s="7" t="s">
        <v>16</v>
      </c>
      <c r="H50" s="8" t="s">
        <v>16</v>
      </c>
      <c r="I50" s="9">
        <f>IF(H50="",I49,I49+H50)</f>
      </c>
      <c r="J50" s="6" t="s">
        <v>16</v>
      </c>
      <c r="K50" s="4" t="s">
        <v>16</v>
      </c>
      <c r="L50" s="6" t="s">
        <v>16</v>
      </c>
      <c r="M50" s="6" t="s">
        <v>16</v>
      </c>
      <c r="N50" s="4" t="s">
        <v>16</v>
      </c>
    </row>
    <row r="51" ht="22" customHeight="1">
      <c r="A51" s="4" t="s">
        <v>16</v>
      </c>
      <c r="B51" s="5">
        <v>48</v>
      </c>
      <c r="C51" s="6" t="s">
        <v>16</v>
      </c>
      <c r="D51" s="6" t="s">
        <v>16</v>
      </c>
      <c r="E51" s="6" t="s">
        <v>16</v>
      </c>
      <c r="F51" s="6" t="s">
        <v>16</v>
      </c>
      <c r="G51" s="7" t="s">
        <v>16</v>
      </c>
      <c r="H51" s="8" t="s">
        <v>16</v>
      </c>
      <c r="I51" s="9">
        <f>IF(H51="",I50,I50+H51)</f>
      </c>
      <c r="J51" s="6" t="s">
        <v>16</v>
      </c>
      <c r="K51" s="4" t="s">
        <v>16</v>
      </c>
      <c r="L51" s="6" t="s">
        <v>16</v>
      </c>
      <c r="M51" s="6" t="s">
        <v>16</v>
      </c>
      <c r="N51" s="4" t="s">
        <v>16</v>
      </c>
    </row>
    <row r="52" ht="22" customHeight="1">
      <c r="A52" s="4" t="s">
        <v>16</v>
      </c>
      <c r="B52" s="5">
        <v>49</v>
      </c>
      <c r="C52" s="6" t="s">
        <v>16</v>
      </c>
      <c r="D52" s="6" t="s">
        <v>16</v>
      </c>
      <c r="E52" s="6" t="s">
        <v>16</v>
      </c>
      <c r="F52" s="6" t="s">
        <v>16</v>
      </c>
      <c r="G52" s="7" t="s">
        <v>16</v>
      </c>
      <c r="H52" s="8" t="s">
        <v>16</v>
      </c>
      <c r="I52" s="9">
        <f>IF(H52="",I51,I51+H52)</f>
      </c>
      <c r="J52" s="6" t="s">
        <v>16</v>
      </c>
      <c r="K52" s="4" t="s">
        <v>16</v>
      </c>
      <c r="L52" s="6" t="s">
        <v>16</v>
      </c>
      <c r="M52" s="6" t="s">
        <v>16</v>
      </c>
      <c r="N52" s="4" t="s">
        <v>16</v>
      </c>
    </row>
    <row r="53" ht="22" customHeight="1">
      <c r="A53" s="4" t="s">
        <v>16</v>
      </c>
      <c r="B53" s="5">
        <v>50</v>
      </c>
      <c r="C53" s="6" t="s">
        <v>16</v>
      </c>
      <c r="D53" s="6" t="s">
        <v>16</v>
      </c>
      <c r="E53" s="6" t="s">
        <v>16</v>
      </c>
      <c r="F53" s="6" t="s">
        <v>16</v>
      </c>
      <c r="G53" s="7" t="s">
        <v>16</v>
      </c>
      <c r="H53" s="8" t="s">
        <v>16</v>
      </c>
      <c r="I53" s="9">
        <f>IF(H53="",I52,I52+H53)</f>
      </c>
      <c r="J53" s="6" t="s">
        <v>16</v>
      </c>
      <c r="K53" s="4" t="s">
        <v>16</v>
      </c>
      <c r="L53" s="6" t="s">
        <v>16</v>
      </c>
      <c r="M53" s="6" t="s">
        <v>16</v>
      </c>
      <c r="N53" s="4" t="s">
        <v>16</v>
      </c>
    </row>
    <row r="54" ht="22" customHeight="1">
      <c r="A54" s="4" t="s">
        <v>16</v>
      </c>
      <c r="B54" s="5">
        <v>51</v>
      </c>
      <c r="C54" s="6" t="s">
        <v>16</v>
      </c>
      <c r="D54" s="6" t="s">
        <v>16</v>
      </c>
      <c r="E54" s="6" t="s">
        <v>16</v>
      </c>
      <c r="F54" s="6" t="s">
        <v>16</v>
      </c>
      <c r="G54" s="7" t="s">
        <v>16</v>
      </c>
      <c r="H54" s="8" t="s">
        <v>16</v>
      </c>
      <c r="I54" s="9">
        <f>IF(H54="",I53,I53+H54)</f>
      </c>
      <c r="J54" s="6" t="s">
        <v>16</v>
      </c>
      <c r="K54" s="4" t="s">
        <v>16</v>
      </c>
      <c r="L54" s="6" t="s">
        <v>16</v>
      </c>
      <c r="M54" s="6" t="s">
        <v>16</v>
      </c>
      <c r="N54" s="4" t="s">
        <v>16</v>
      </c>
    </row>
    <row r="55" ht="22" customHeight="1">
      <c r="A55" s="4" t="s">
        <v>16</v>
      </c>
      <c r="B55" s="5">
        <v>52</v>
      </c>
      <c r="C55" s="6" t="s">
        <v>16</v>
      </c>
      <c r="D55" s="6" t="s">
        <v>16</v>
      </c>
      <c r="E55" s="6" t="s">
        <v>16</v>
      </c>
      <c r="F55" s="6" t="s">
        <v>16</v>
      </c>
      <c r="G55" s="7" t="s">
        <v>16</v>
      </c>
      <c r="H55" s="8" t="s">
        <v>16</v>
      </c>
      <c r="I55" s="9">
        <f>IF(H55="",I54,I54+H55)</f>
      </c>
      <c r="J55" s="6" t="s">
        <v>16</v>
      </c>
      <c r="K55" s="4" t="s">
        <v>16</v>
      </c>
      <c r="L55" s="6" t="s">
        <v>16</v>
      </c>
      <c r="M55" s="6" t="s">
        <v>16</v>
      </c>
      <c r="N55" s="4" t="s">
        <v>16</v>
      </c>
    </row>
    <row r="56" ht="22" customHeight="1">
      <c r="A56" s="4" t="s">
        <v>16</v>
      </c>
      <c r="B56" s="5">
        <v>53</v>
      </c>
      <c r="C56" s="6" t="s">
        <v>16</v>
      </c>
      <c r="D56" s="6" t="s">
        <v>16</v>
      </c>
      <c r="E56" s="6" t="s">
        <v>16</v>
      </c>
      <c r="F56" s="6" t="s">
        <v>16</v>
      </c>
      <c r="G56" s="7" t="s">
        <v>16</v>
      </c>
      <c r="H56" s="8" t="s">
        <v>16</v>
      </c>
      <c r="I56" s="9">
        <f>IF(H56="",I55,I55+H56)</f>
      </c>
      <c r="J56" s="6" t="s">
        <v>16</v>
      </c>
      <c r="K56" s="4" t="s">
        <v>16</v>
      </c>
      <c r="L56" s="6" t="s">
        <v>16</v>
      </c>
      <c r="M56" s="6" t="s">
        <v>16</v>
      </c>
      <c r="N56" s="4" t="s">
        <v>16</v>
      </c>
    </row>
    <row r="57" ht="22" customHeight="1">
      <c r="A57" s="4" t="s">
        <v>16</v>
      </c>
      <c r="B57" s="5">
        <v>54</v>
      </c>
      <c r="C57" s="6" t="s">
        <v>16</v>
      </c>
      <c r="D57" s="6" t="s">
        <v>16</v>
      </c>
      <c r="E57" s="6" t="s">
        <v>16</v>
      </c>
      <c r="F57" s="6" t="s">
        <v>16</v>
      </c>
      <c r="G57" s="7" t="s">
        <v>16</v>
      </c>
      <c r="H57" s="8" t="s">
        <v>16</v>
      </c>
      <c r="I57" s="9">
        <f>IF(H57="",I56,I56+H57)</f>
      </c>
      <c r="J57" s="6" t="s">
        <v>16</v>
      </c>
      <c r="K57" s="4" t="s">
        <v>16</v>
      </c>
      <c r="L57" s="6" t="s">
        <v>16</v>
      </c>
      <c r="M57" s="6" t="s">
        <v>16</v>
      </c>
      <c r="N57" s="4" t="s">
        <v>16</v>
      </c>
    </row>
    <row r="58" ht="22" customHeight="1">
      <c r="A58" s="4" t="s">
        <v>16</v>
      </c>
      <c r="B58" s="5">
        <v>55</v>
      </c>
      <c r="C58" s="6" t="s">
        <v>16</v>
      </c>
      <c r="D58" s="6" t="s">
        <v>16</v>
      </c>
      <c r="E58" s="6" t="s">
        <v>16</v>
      </c>
      <c r="F58" s="6" t="s">
        <v>16</v>
      </c>
      <c r="G58" s="7" t="s">
        <v>16</v>
      </c>
      <c r="H58" s="8" t="s">
        <v>16</v>
      </c>
      <c r="I58" s="9">
        <f>IF(H58="",I57,I57+H58)</f>
      </c>
      <c r="J58" s="6" t="s">
        <v>16</v>
      </c>
      <c r="K58" s="4" t="s">
        <v>16</v>
      </c>
      <c r="L58" s="6" t="s">
        <v>16</v>
      </c>
      <c r="M58" s="6" t="s">
        <v>16</v>
      </c>
      <c r="N58" s="4" t="s">
        <v>16</v>
      </c>
    </row>
    <row r="59" ht="22" customHeight="1">
      <c r="A59" s="4" t="s">
        <v>16</v>
      </c>
      <c r="B59" s="5">
        <v>56</v>
      </c>
      <c r="C59" s="6" t="s">
        <v>16</v>
      </c>
      <c r="D59" s="6" t="s">
        <v>16</v>
      </c>
      <c r="E59" s="6" t="s">
        <v>16</v>
      </c>
      <c r="F59" s="6" t="s">
        <v>16</v>
      </c>
      <c r="G59" s="7" t="s">
        <v>16</v>
      </c>
      <c r="H59" s="8" t="s">
        <v>16</v>
      </c>
      <c r="I59" s="9">
        <f>IF(H59="",I58,I58+H59)</f>
      </c>
      <c r="J59" s="6" t="s">
        <v>16</v>
      </c>
      <c r="K59" s="4" t="s">
        <v>16</v>
      </c>
      <c r="L59" s="6" t="s">
        <v>16</v>
      </c>
      <c r="M59" s="6" t="s">
        <v>16</v>
      </c>
      <c r="N59" s="4" t="s">
        <v>16</v>
      </c>
    </row>
    <row r="60" ht="22" customHeight="1">
      <c r="A60" s="4" t="s">
        <v>16</v>
      </c>
      <c r="B60" s="5">
        <v>57</v>
      </c>
      <c r="C60" s="6" t="s">
        <v>16</v>
      </c>
      <c r="D60" s="6" t="s">
        <v>16</v>
      </c>
      <c r="E60" s="6" t="s">
        <v>16</v>
      </c>
      <c r="F60" s="6" t="s">
        <v>16</v>
      </c>
      <c r="G60" s="7" t="s">
        <v>16</v>
      </c>
      <c r="H60" s="8" t="s">
        <v>16</v>
      </c>
      <c r="I60" s="9">
        <f>IF(H60="",I59,I59+H60)</f>
      </c>
      <c r="J60" s="6" t="s">
        <v>16</v>
      </c>
      <c r="K60" s="4" t="s">
        <v>16</v>
      </c>
      <c r="L60" s="6" t="s">
        <v>16</v>
      </c>
      <c r="M60" s="6" t="s">
        <v>16</v>
      </c>
      <c r="N60" s="4" t="s">
        <v>16</v>
      </c>
    </row>
    <row r="61" ht="22" customHeight="1">
      <c r="A61" s="4" t="s">
        <v>16</v>
      </c>
      <c r="B61" s="5">
        <v>58</v>
      </c>
      <c r="C61" s="6" t="s">
        <v>16</v>
      </c>
      <c r="D61" s="6" t="s">
        <v>16</v>
      </c>
      <c r="E61" s="6" t="s">
        <v>16</v>
      </c>
      <c r="F61" s="6" t="s">
        <v>16</v>
      </c>
      <c r="G61" s="7" t="s">
        <v>16</v>
      </c>
      <c r="H61" s="8" t="s">
        <v>16</v>
      </c>
      <c r="I61" s="9">
        <f>IF(H61="",I60,I60+H61)</f>
      </c>
      <c r="J61" s="6" t="s">
        <v>16</v>
      </c>
      <c r="K61" s="4" t="s">
        <v>16</v>
      </c>
      <c r="L61" s="6" t="s">
        <v>16</v>
      </c>
      <c r="M61" s="6" t="s">
        <v>16</v>
      </c>
      <c r="N61" s="4" t="s">
        <v>16</v>
      </c>
    </row>
    <row r="62" ht="22" customHeight="1">
      <c r="A62" s="4" t="s">
        <v>16</v>
      </c>
      <c r="B62" s="5">
        <v>59</v>
      </c>
      <c r="C62" s="6" t="s">
        <v>16</v>
      </c>
      <c r="D62" s="6" t="s">
        <v>16</v>
      </c>
      <c r="E62" s="6" t="s">
        <v>16</v>
      </c>
      <c r="F62" s="6" t="s">
        <v>16</v>
      </c>
      <c r="G62" s="7" t="s">
        <v>16</v>
      </c>
      <c r="H62" s="8" t="s">
        <v>16</v>
      </c>
      <c r="I62" s="9">
        <f>IF(H62="",I61,I61+H62)</f>
      </c>
      <c r="J62" s="6" t="s">
        <v>16</v>
      </c>
      <c r="K62" s="4" t="s">
        <v>16</v>
      </c>
      <c r="L62" s="6" t="s">
        <v>16</v>
      </c>
      <c r="M62" s="6" t="s">
        <v>16</v>
      </c>
      <c r="N62" s="4" t="s">
        <v>16</v>
      </c>
    </row>
    <row r="63" ht="22" customHeight="1">
      <c r="A63" s="4" t="s">
        <v>16</v>
      </c>
      <c r="B63" s="5">
        <v>60</v>
      </c>
      <c r="C63" s="6" t="s">
        <v>16</v>
      </c>
      <c r="D63" s="6" t="s">
        <v>16</v>
      </c>
      <c r="E63" s="6" t="s">
        <v>16</v>
      </c>
      <c r="F63" s="6" t="s">
        <v>16</v>
      </c>
      <c r="G63" s="7" t="s">
        <v>16</v>
      </c>
      <c r="H63" s="8" t="s">
        <v>16</v>
      </c>
      <c r="I63" s="9">
        <f>IF(H63="",I62,I62+H63)</f>
      </c>
      <c r="J63" s="6" t="s">
        <v>16</v>
      </c>
      <c r="K63" s="4" t="s">
        <v>16</v>
      </c>
      <c r="L63" s="6" t="s">
        <v>16</v>
      </c>
      <c r="M63" s="6" t="s">
        <v>16</v>
      </c>
      <c r="N63" s="4" t="s">
        <v>16</v>
      </c>
    </row>
    <row r="64"/>
    <row r="65" ht="24" customHeight="1">
      <c r="A65" s="10" t="s">
        <v>17</v>
      </c>
    </row>
    <row r="66" ht="22" customHeight="1">
      <c r="A66" s="11" t="s">
        <v>18</v>
      </c>
      <c r="D66" s="11" t="s">
        <v>19</v>
      </c>
      <c r="G66" s="11" t="s">
        <v>20</v>
      </c>
      <c r="J66" s="11" t="s">
        <v>21</v>
      </c>
    </row>
    <row r="67" ht="22" customHeight="1">
      <c r="A67" s="12">
        <f>COUNTA(A4:A63)</f>
      </c>
      <c r="D67" s="12">
        <f>SUM(C4:C63)</f>
      </c>
      <c r="G67" s="12">
        <f>SUM(D4:D63)</f>
      </c>
      <c r="J67" s="12">
        <f>SUM(E4:E63)</f>
      </c>
    </row>
    <row r="68" ht="22" customHeight="1">
      <c r="A68" s="11" t="s">
        <v>22</v>
      </c>
      <c r="D68" s="11" t="s">
        <v>23</v>
      </c>
      <c r="G68" s="11" t="s">
        <v>24</v>
      </c>
      <c r="J68" s="11" t="s">
        <v>25</v>
      </c>
    </row>
    <row r="69" ht="22" customHeight="1">
      <c r="A69" s="13">
        <f>IF(SUM(D4:D63)+SUM(E4:E63)=0,"",SUM(D4:D63)/(SUM(D4:D63)+SUM(E4:E63))*100)</f>
      </c>
      <c r="D69" s="13">
        <f>SUM(G4:G63)</f>
      </c>
      <c r="G69" s="9">
        <f>SUM(H4:H63)</f>
      </c>
      <c r="J69" s="13">
        <f>IF(COUNTA(J4:J63)=0,"",AVERAGE(J4:J63))</f>
      </c>
    </row>
    <row r="70" ht="22" customHeight="1">
      <c r="A70" s="11" t="s">
        <v>26</v>
      </c>
      <c r="D70" s="11" t="s">
        <v>27</v>
      </c>
      <c r="G70" s="11" t="s">
        <v>28</v>
      </c>
      <c r="J70" s="11" t="s">
        <v>29</v>
      </c>
    </row>
    <row r="71" ht="22" customHeight="1">
      <c r="A71" s="12">
        <f>COUNTIF(K4:K63,"Y")</f>
      </c>
      <c r="D71" s="13">
        <f>IF(COUNTA(L4:L63)=0,"",AVERAGE(L4:L63))</f>
      </c>
      <c r="G71" s="13">
        <f>IF(COUNTA(M4:M63)=0,"",AVERAGE(M4:M63))</f>
      </c>
      <c r="J71" s="9">
        <f>IF(COUNTA(I4:I63)=0,"",MIN(I4:I63)-MAX(I4:I63))</f>
      </c>
    </row>
  </sheetData>
  <mergeCells count="27">
    <mergeCell ref="A1:N1"/>
    <mergeCell ref="A2:N2"/>
    <mergeCell ref="A65:N65"/>
    <mergeCell ref="A66:B66"/>
    <mergeCell ref="A67:B67"/>
    <mergeCell ref="D66:E66"/>
    <mergeCell ref="D67:E67"/>
    <mergeCell ref="G66:H66"/>
    <mergeCell ref="G67:H67"/>
    <mergeCell ref="J66:K66"/>
    <mergeCell ref="J67:K67"/>
    <mergeCell ref="A68:B68"/>
    <mergeCell ref="A69:B69"/>
    <mergeCell ref="D68:E68"/>
    <mergeCell ref="D69:E69"/>
    <mergeCell ref="G68:H68"/>
    <mergeCell ref="G69:H69"/>
    <mergeCell ref="J68:K68"/>
    <mergeCell ref="J69:K69"/>
    <mergeCell ref="A70:B70"/>
    <mergeCell ref="A71:B71"/>
    <mergeCell ref="D70:E70"/>
    <mergeCell ref="D71:E71"/>
    <mergeCell ref="G70:H70"/>
    <mergeCell ref="G71:H71"/>
    <mergeCell ref="J70:K70"/>
    <mergeCell ref="J71:K71"/>
  </mergeCells>
</worksheet>
</file>

<file path=xl/worksheets/sheet2.xml><?xml version="1.0" encoding="utf-8"?>
<worksheet xmlns="http://schemas.openxmlformats.org/spreadsheetml/2006/main">
  <cols>
    <col min="1" max="1" width="12" customWidth="1"/>
    <col min="2" max="2" width="22" customWidth="1"/>
    <col min="3" max="3" width="45" customWidth="1"/>
    <col min="4" max="4" width="40" customWidth="1"/>
  </cols>
  <sheetData>
    <row r="1" ht="28" customHeight="1">
      <c r="A1" s="1" t="s">
        <v>30</v>
      </c>
    </row>
    <row r="2" ht="28" customHeight="1">
      <c r="A2" s="3" t="s">
        <v>31</v>
      </c>
      <c r="B2" s="3" t="s">
        <v>32</v>
      </c>
      <c r="C2" s="3" t="s">
        <v>33</v>
      </c>
      <c r="D2" s="3" t="s">
        <v>34</v>
      </c>
    </row>
    <row r="3" ht="60" customHeight="1">
      <c r="A3" s="14" t="s">
        <v>35</v>
      </c>
      <c r="B3" s="14" t="s">
        <v>36</v>
      </c>
      <c r="C3" s="15" t="s">
        <v>37</v>
      </c>
      <c r="D3" s="15" t="s">
        <v>38</v>
      </c>
    </row>
    <row r="4" ht="60" customHeight="1">
      <c r="A4" s="14" t="s">
        <v>39</v>
      </c>
      <c r="B4" s="14" t="s">
        <v>40</v>
      </c>
      <c r="C4" s="15" t="s">
        <v>41</v>
      </c>
      <c r="D4" s="15" t="s">
        <v>42</v>
      </c>
    </row>
    <row r="5" ht="60" customHeight="1">
      <c r="A5" s="14" t="s">
        <v>43</v>
      </c>
      <c r="B5" s="14" t="s">
        <v>44</v>
      </c>
      <c r="C5" s="15" t="s">
        <v>45</v>
      </c>
      <c r="D5" s="15" t="s">
        <v>46</v>
      </c>
    </row>
    <row r="6" ht="60" customHeight="1">
      <c r="A6" s="14" t="s">
        <v>47</v>
      </c>
      <c r="B6" s="14" t="s">
        <v>48</v>
      </c>
      <c r="C6" s="15" t="s">
        <v>49</v>
      </c>
      <c r="D6" s="15" t="s">
        <v>50</v>
      </c>
    </row>
    <row r="7" ht="60" customHeight="1">
      <c r="A7" s="14" t="s">
        <v>51</v>
      </c>
      <c r="B7" s="14" t="s">
        <v>52</v>
      </c>
      <c r="C7" s="15" t="s">
        <v>53</v>
      </c>
      <c r="D7" s="15" t="s">
        <v>54</v>
      </c>
    </row>
    <row r="8" ht="60" customHeight="1">
      <c r="A8" s="14" t="s">
        <v>55</v>
      </c>
      <c r="B8" s="14" t="s">
        <v>56</v>
      </c>
      <c r="C8" s="15" t="s">
        <v>57</v>
      </c>
      <c r="D8" s="15" t="s">
        <v>58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>
  <cols>
    <col min="1" max="1" width="4" customWidth="1"/>
    <col min="2" max="2" width="100" customWidth="1"/>
  </cols>
  <sheetData>
    <row r="1" ht="28" customHeight="1">
      <c r="A1" s="1" t="s">
        <v>59</v>
      </c>
    </row>
    <row r="2"/>
    <row r="3" ht="24" customHeight="1">
      <c r="A3" s="10" t="s">
        <v>60</v>
      </c>
    </row>
    <row r="4" ht="22" customHeight="1">
      <c r="A4" s="16" t="s">
        <v>16</v>
      </c>
      <c r="B4" s="15" t="s">
        <v>61</v>
      </c>
    </row>
    <row r="5" ht="22" customHeight="1">
      <c r="A5" s="16" t="s">
        <v>16</v>
      </c>
      <c r="B5" s="15" t="s">
        <v>62</v>
      </c>
    </row>
    <row r="6" ht="22" customHeight="1">
      <c r="A6" s="16" t="s">
        <v>16</v>
      </c>
      <c r="B6" s="15" t="s">
        <v>63</v>
      </c>
    </row>
    <row r="7" ht="22" customHeight="1">
      <c r="A7" s="16" t="s">
        <v>16</v>
      </c>
      <c r="B7" s="15" t="s">
        <v>64</v>
      </c>
    </row>
    <row r="8"/>
    <row r="9" ht="24" customHeight="1">
      <c r="A9" s="10" t="s">
        <v>65</v>
      </c>
    </row>
    <row r="10" ht="22" customHeight="1">
      <c r="A10" s="16" t="s">
        <v>16</v>
      </c>
      <c r="B10" s="15" t="s">
        <v>66</v>
      </c>
    </row>
    <row r="11" ht="22" customHeight="1">
      <c r="A11" s="16" t="s">
        <v>16</v>
      </c>
      <c r="B11" s="15" t="s">
        <v>67</v>
      </c>
    </row>
    <row r="12" ht="22" customHeight="1">
      <c r="A12" s="16" t="s">
        <v>16</v>
      </c>
      <c r="B12" s="15" t="s">
        <v>68</v>
      </c>
    </row>
    <row r="13" ht="22" customHeight="1">
      <c r="A13" s="16" t="s">
        <v>16</v>
      </c>
      <c r="B13" s="15" t="s">
        <v>69</v>
      </c>
    </row>
    <row r="14" ht="22" customHeight="1">
      <c r="A14" s="16" t="s">
        <v>16</v>
      </c>
      <c r="B14" s="15" t="s">
        <v>70</v>
      </c>
    </row>
    <row r="15"/>
    <row r="16" ht="24" customHeight="1">
      <c r="A16" s="10" t="s">
        <v>71</v>
      </c>
    </row>
    <row r="17" ht="22" customHeight="1">
      <c r="A17" s="16" t="s">
        <v>16</v>
      </c>
      <c r="B17" s="15" t="s">
        <v>72</v>
      </c>
    </row>
    <row r="18" ht="22" customHeight="1">
      <c r="A18" s="16" t="s">
        <v>16</v>
      </c>
      <c r="B18" s="15" t="s">
        <v>73</v>
      </c>
    </row>
    <row r="19" ht="22" customHeight="1">
      <c r="A19" s="16" t="s">
        <v>16</v>
      </c>
      <c r="B19" s="15" t="s">
        <v>74</v>
      </c>
    </row>
    <row r="20" ht="22" customHeight="1">
      <c r="A20" s="16" t="s">
        <v>16</v>
      </c>
      <c r="B20" s="15" t="s">
        <v>75</v>
      </c>
    </row>
    <row r="21" ht="22" customHeight="1">
      <c r="A21" s="16" t="s">
        <v>16</v>
      </c>
      <c r="B21" s="15" t="s">
        <v>76</v>
      </c>
    </row>
    <row r="22"/>
    <row r="23" ht="24" customHeight="1">
      <c r="A23" s="10" t="s">
        <v>77</v>
      </c>
    </row>
    <row r="24" ht="22" customHeight="1">
      <c r="A24" s="16" t="s">
        <v>16</v>
      </c>
      <c r="B24" s="15" t="s">
        <v>78</v>
      </c>
    </row>
    <row r="25" ht="22" customHeight="1">
      <c r="A25" s="16" t="s">
        <v>16</v>
      </c>
      <c r="B25" s="15" t="s">
        <v>79</v>
      </c>
    </row>
    <row r="26" ht="22" customHeight="1">
      <c r="A26" s="16" t="s">
        <v>16</v>
      </c>
      <c r="B26" s="15" t="s">
        <v>80</v>
      </c>
    </row>
    <row r="27" ht="22" customHeight="1">
      <c r="A27" s="16" t="s">
        <v>16</v>
      </c>
      <c r="B27" s="15" t="s">
        <v>81</v>
      </c>
    </row>
    <row r="28"/>
    <row r="29" ht="24" customHeight="1">
      <c r="A29" s="10" t="s">
        <v>82</v>
      </c>
    </row>
    <row r="30" ht="22" customHeight="1">
      <c r="A30" s="16" t="s">
        <v>16</v>
      </c>
      <c r="B30" s="15" t="s">
        <v>83</v>
      </c>
    </row>
    <row r="31" ht="22" customHeight="1">
      <c r="A31" s="16" t="s">
        <v>16</v>
      </c>
      <c r="B31" s="15" t="s">
        <v>84</v>
      </c>
    </row>
    <row r="32" ht="22" customHeight="1">
      <c r="A32" s="16" t="s">
        <v>16</v>
      </c>
      <c r="B32" s="15" t="s">
        <v>85</v>
      </c>
    </row>
    <row r="33" ht="22" customHeight="1">
      <c r="A33" s="16" t="s">
        <v>16</v>
      </c>
      <c r="B33" s="15" t="s">
        <v>86</v>
      </c>
    </row>
    <row r="34" ht="22" customHeight="1">
      <c r="A34" s="16" t="s">
        <v>16</v>
      </c>
      <c r="B34" s="15" t="s">
        <v>87</v>
      </c>
    </row>
    <row r="35" ht="22" customHeight="1">
      <c r="A35" s="16" t="s">
        <v>16</v>
      </c>
      <c r="B35" s="15" t="s">
        <v>88</v>
      </c>
    </row>
    <row r="36"/>
    <row r="37" ht="24" customHeight="1">
      <c r="A37" s="10" t="s">
        <v>89</v>
      </c>
    </row>
    <row r="38" ht="22" customHeight="1">
      <c r="A38" s="16" t="s">
        <v>16</v>
      </c>
      <c r="B38" s="15" t="s">
        <v>90</v>
      </c>
    </row>
    <row r="39" ht="22" customHeight="1">
      <c r="A39" s="16" t="s">
        <v>16</v>
      </c>
      <c r="B39" s="15" t="s">
        <v>91</v>
      </c>
    </row>
    <row r="40" ht="22" customHeight="1">
      <c r="A40" s="16" t="s">
        <v>16</v>
      </c>
      <c r="B40" s="15" t="s">
        <v>92</v>
      </c>
    </row>
    <row r="41" ht="22" customHeight="1">
      <c r="A41" s="16" t="s">
        <v>16</v>
      </c>
      <c r="B41" s="15" t="s">
        <v>93</v>
      </c>
    </row>
    <row r="42"/>
    <row r="43" ht="24" customHeight="1">
      <c r="A43" s="10" t="s">
        <v>94</v>
      </c>
    </row>
    <row r="44" ht="22" customHeight="1">
      <c r="A44" s="16" t="s">
        <v>16</v>
      </c>
      <c r="B44" s="15" t="s">
        <v>95</v>
      </c>
    </row>
    <row r="45" ht="22" customHeight="1">
      <c r="A45" s="16" t="s">
        <v>16</v>
      </c>
      <c r="B45" s="15" t="s">
        <v>96</v>
      </c>
    </row>
    <row r="46" ht="22" customHeight="1">
      <c r="A46" s="16" t="s">
        <v>16</v>
      </c>
      <c r="B46" s="15" t="s">
        <v>97</v>
      </c>
    </row>
    <row r="47" ht="22" customHeight="1">
      <c r="A47" s="16" t="s">
        <v>16</v>
      </c>
      <c r="B47" s="15" t="s">
        <v>98</v>
      </c>
    </row>
    <row r="48"/>
    <row r="49" ht="24" customHeight="1">
      <c r="A49" s="10" t="s">
        <v>99</v>
      </c>
    </row>
    <row r="50" ht="22" customHeight="1">
      <c r="A50" s="16" t="s">
        <v>16</v>
      </c>
      <c r="B50" s="15" t="s">
        <v>100</v>
      </c>
    </row>
    <row r="51" ht="22" customHeight="1">
      <c r="A51" s="16" t="s">
        <v>16</v>
      </c>
      <c r="B51" s="15" t="s">
        <v>101</v>
      </c>
    </row>
    <row r="52" ht="22" customHeight="1">
      <c r="A52" s="16" t="s">
        <v>16</v>
      </c>
      <c r="B52" s="15" t="s">
        <v>102</v>
      </c>
    </row>
    <row r="53" ht="22" customHeight="1">
      <c r="A53" s="16" t="s">
        <v>16</v>
      </c>
      <c r="B53" s="15" t="s">
        <v>103</v>
      </c>
    </row>
    <row r="54" ht="22" customHeight="1">
      <c r="A54" s="16" t="s">
        <v>16</v>
      </c>
      <c r="B54" s="15" t="s">
        <v>104</v>
      </c>
    </row>
    <row r="55" ht="22" customHeight="1">
      <c r="A55" s="16" t="s">
        <v>16</v>
      </c>
      <c r="B55" s="15" t="s">
        <v>105</v>
      </c>
    </row>
    <row r="56"/>
    <row r="57" ht="24" customHeight="1">
      <c r="A57" s="10" t="s">
        <v>106</v>
      </c>
    </row>
    <row r="58" ht="22" customHeight="1">
      <c r="A58" s="16" t="s">
        <v>16</v>
      </c>
      <c r="B58" s="15" t="s">
        <v>107</v>
      </c>
    </row>
    <row r="59" ht="22" customHeight="1">
      <c r="A59" s="16" t="s">
        <v>16</v>
      </c>
      <c r="B59" s="15" t="s">
        <v>108</v>
      </c>
    </row>
    <row r="60" ht="22" customHeight="1">
      <c r="A60" s="16" t="s">
        <v>16</v>
      </c>
      <c r="B60" s="15" t="s">
        <v>109</v>
      </c>
    </row>
    <row r="61" ht="22" customHeight="1">
      <c r="A61" s="16" t="s">
        <v>16</v>
      </c>
      <c r="B61" s="15" t="s">
        <v>110</v>
      </c>
    </row>
    <row r="62" ht="22" customHeight="1">
      <c r="A62" s="16" t="s">
        <v>16</v>
      </c>
      <c r="B62" s="15" t="s">
        <v>111</v>
      </c>
    </row>
    <row r="63"/>
    <row r="64" ht="24" customHeight="1">
      <c r="A64" s="10" t="s">
        <v>112</v>
      </c>
    </row>
    <row r="65" ht="22" customHeight="1">
      <c r="A65" s="16" t="s">
        <v>16</v>
      </c>
      <c r="B65" s="15" t="s">
        <v>113</v>
      </c>
    </row>
    <row r="66" ht="22" customHeight="1">
      <c r="A66" s="16" t="s">
        <v>16</v>
      </c>
      <c r="B66" s="15" t="s">
        <v>114</v>
      </c>
    </row>
    <row r="67" ht="22" customHeight="1">
      <c r="A67" s="16" t="s">
        <v>16</v>
      </c>
      <c r="B67" s="15" t="s">
        <v>115</v>
      </c>
    </row>
    <row r="68" ht="22" customHeight="1">
      <c r="A68" s="16" t="s">
        <v>16</v>
      </c>
      <c r="B68" s="15" t="s">
        <v>116</v>
      </c>
    </row>
    <row r="69" ht="22" customHeight="1">
      <c r="A69" s="16" t="s">
        <v>16</v>
      </c>
      <c r="B69" s="15" t="s">
        <v>117</v>
      </c>
    </row>
    <row r="70" ht="22" customHeight="1">
      <c r="A70" s="16" t="s">
        <v>16</v>
      </c>
      <c r="B70" s="15" t="s">
        <v>118</v>
      </c>
    </row>
    <row r="71" ht="22" customHeight="1">
      <c r="A71" s="16" t="s">
        <v>16</v>
      </c>
      <c r="B71" s="15" t="s">
        <v>119</v>
      </c>
    </row>
  </sheetData>
  <mergeCells count="11">
    <mergeCell ref="A1:B1"/>
    <mergeCell ref="A3:B3"/>
    <mergeCell ref="A9:B9"/>
    <mergeCell ref="A16:B16"/>
    <mergeCell ref="A23:B23"/>
    <mergeCell ref="A29:B29"/>
    <mergeCell ref="A37:B37"/>
    <mergeCell ref="A43:B43"/>
    <mergeCell ref="A49:B49"/>
    <mergeCell ref="A57:B57"/>
    <mergeCell ref="A64:B64"/>
  </mergeCells>
</worksheet>
</file>

<file path=xl/worksheets/sheet4.xml><?xml version="1.0" encoding="utf-8"?>
<worksheet xmlns="http://schemas.openxmlformats.org/spreadsheetml/2006/main">
  <cols>
    <col min="1" max="1" width="30" customWidth="1"/>
    <col min="2" max="2" width="65" customWidth="1"/>
  </cols>
  <sheetData>
    <row r="1" ht="28" customHeight="1">
      <c r="A1" s="1" t="s">
        <v>120</v>
      </c>
    </row>
    <row r="2" ht="22" customHeight="1">
      <c r="A2" s="3" t="s">
        <v>121</v>
      </c>
      <c r="B2" s="3" t="s">
        <v>122</v>
      </c>
    </row>
    <row r="3" ht="50" customHeight="1">
      <c r="A3" s="14" t="s">
        <v>123</v>
      </c>
      <c r="B3" s="4" t="s">
        <v>16</v>
      </c>
    </row>
    <row r="4" ht="50" customHeight="1">
      <c r="A4" s="14" t="s">
        <v>124</v>
      </c>
      <c r="B4" s="4" t="s">
        <v>16</v>
      </c>
    </row>
    <row r="5" ht="50" customHeight="1">
      <c r="A5" s="14" t="s">
        <v>125</v>
      </c>
      <c r="B5" s="4" t="s">
        <v>16</v>
      </c>
    </row>
    <row r="6" ht="50" customHeight="1">
      <c r="A6" s="14" t="s">
        <v>126</v>
      </c>
      <c r="B6" s="4" t="s">
        <v>16</v>
      </c>
    </row>
    <row r="7" ht="50" customHeight="1">
      <c r="A7" s="14" t="s">
        <v>127</v>
      </c>
      <c r="B7" s="4" t="s">
        <v>16</v>
      </c>
    </row>
    <row r="8" ht="50" customHeight="1">
      <c r="A8" s="14" t="s">
        <v>128</v>
      </c>
      <c r="B8" s="4" t="s">
        <v>16</v>
      </c>
    </row>
    <row r="9" ht="50" customHeight="1">
      <c r="A9" s="14" t="s">
        <v>129</v>
      </c>
      <c r="B9" s="4" t="s">
        <v>16</v>
      </c>
    </row>
    <row r="10" ht="50" customHeight="1">
      <c r="A10" s="14" t="s">
        <v>130</v>
      </c>
      <c r="B10" s="4" t="s">
        <v>16</v>
      </c>
    </row>
    <row r="11" ht="50" customHeight="1">
      <c r="A11" s="14" t="s">
        <v>131</v>
      </c>
      <c r="B11" s="4" t="s">
        <v>16</v>
      </c>
    </row>
    <row r="12" ht="50" customHeight="1">
      <c r="A12" s="14" t="s">
        <v>132</v>
      </c>
      <c r="B12" s="4" t="s">
        <v>16</v>
      </c>
    </row>
    <row r="13" ht="50" customHeight="1">
      <c r="A13" s="14" t="s">
        <v>133</v>
      </c>
      <c r="B13" s="4" t="s">
        <v>16</v>
      </c>
    </row>
    <row r="14" ht="50" customHeight="1">
      <c r="A14" s="14" t="s">
        <v>134</v>
      </c>
      <c r="B14" s="4" t="s">
        <v>16</v>
      </c>
    </row>
  </sheetData>
  <mergeCells count="1">
    <mergeCell ref="A1:B1"/>
  </mergeCells>
</worksheet>
</file>